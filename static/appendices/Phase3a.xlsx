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hruvdeepak/Library/CloudStorage/Dropbox/GMU - Coursework/Spring 2026/Dissertation Writing/New Dissertation Format/Analysis - tables/New analysis/"/>
    </mc:Choice>
  </mc:AlternateContent>
  <xr:revisionPtr revIDLastSave="0" documentId="13_ncr:1_{54E29737-9B05-6240-8601-028777CE41BA}" xr6:coauthVersionLast="47" xr6:coauthVersionMax="47" xr10:uidLastSave="{00000000-0000-0000-0000-000000000000}"/>
  <bookViews>
    <workbookView xWindow="240" yWindow="680" windowWidth="30000" windowHeight="16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3" i="1" l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32" i="1"/>
  <c r="BF28" i="1"/>
  <c r="BF29" i="1"/>
  <c r="BF30" i="1"/>
  <c r="BF27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BF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31" i="1"/>
  <c r="BF31" i="1" s="1"/>
  <c r="C31" i="1"/>
  <c r="D31" i="1"/>
  <c r="E31" i="1"/>
  <c r="F31" i="1"/>
</calcChain>
</file>

<file path=xl/sharedStrings.xml><?xml version="1.0" encoding="utf-8"?>
<sst xmlns="http://schemas.openxmlformats.org/spreadsheetml/2006/main" count="98" uniqueCount="98">
  <si>
    <t>TP1: Democratic Data Authority</t>
  </si>
  <si>
    <t>TP2: Open Development and Transparency</t>
  </si>
  <si>
    <t>TP3: Multi-Scale Architecture Design</t>
  </si>
  <si>
    <t>TP4: Community-Centered Design Processes</t>
  </si>
  <si>
    <t>TP5: Culturally-Grounded Development</t>
  </si>
  <si>
    <t>TP6: Commons Resource Stewardship</t>
  </si>
  <si>
    <t>RS1: Community Capacity Development</t>
  </si>
  <si>
    <t>RS2: Access and Skills Democratization</t>
  </si>
  <si>
    <t>RS3: Economic Value Redistribution</t>
  </si>
  <si>
    <t>RS4: Alternative Economic Experimentation</t>
  </si>
  <si>
    <t>RS5: Sustainable Resourcing Models</t>
  </si>
  <si>
    <t>RS6: Values-Aligned Resource Allocation</t>
  </si>
  <si>
    <t>GV1: Decentralized Authority Distribution</t>
  </si>
  <si>
    <t>GV2: Ownership-Based Democratic Control</t>
  </si>
  <si>
    <t>GV3: Federated Multi-Scale Coordination</t>
  </si>
  <si>
    <t>GV4: Democratic Scaling Strategies</t>
  </si>
  <si>
    <t>GV5: Inclusive Expertise Integration</t>
  </si>
  <si>
    <t>GV6: Democratization of External Processes</t>
  </si>
  <si>
    <t>TT1: Community-Controlled Physical Infrastructure</t>
  </si>
  <si>
    <t>TT2: Culturally-Grounded Technology Artifacts</t>
  </si>
  <si>
    <t>TT3: Indigenous Data Sovereignty Infrastructure</t>
  </si>
  <si>
    <t>TT4: Participatory Design Platforms</t>
  </si>
  <si>
    <t>TT5: Digital Commons Resources</t>
  </si>
  <si>
    <t>TT6: Algorithmic Transparency Infrastructure</t>
  </si>
  <si>
    <t>TT7: Decentralized Technical Architecture</t>
  </si>
  <si>
    <t>PT1: Reciprocal Knowledge Exchange</t>
  </si>
  <si>
    <t>PT2: Multi-Network Strategic Positioning</t>
  </si>
  <si>
    <t>PT3: Community Sovereignty Protection in Partnerships</t>
  </si>
  <si>
    <t>PT4: Expertise-Community Knowledge Integration</t>
  </si>
  <si>
    <t>PT5: Cross-Sector Collaboration Networks</t>
  </si>
  <si>
    <t>PU1: Indigenous Epistemological Centering</t>
  </si>
  <si>
    <t>PU2: Cultural Preservation and Linguistic Sovereignty</t>
  </si>
  <si>
    <t>PU3: Value System Reconceptualization</t>
  </si>
  <si>
    <t>PU4: Resistance-Construction Integration</t>
  </si>
  <si>
    <t>PU5: Ecological and Social Transformation</t>
  </si>
  <si>
    <t>PU6: Democratic Citizenship Obligation</t>
  </si>
  <si>
    <t>OI1: Worker/Community Ownership Models</t>
  </si>
  <si>
    <t>OI2: Decentralized Governance Architectures</t>
  </si>
  <si>
    <t>OI3: Anti-Extractive Value Circulation</t>
  </si>
  <si>
    <t>OI4: Commons-Based Production Models</t>
  </si>
  <si>
    <t>OI5: Local-Global Scalar Positioning</t>
  </si>
  <si>
    <t>OI6: Municipal/Public Digital Governance</t>
  </si>
  <si>
    <t>PO1: Policy and Systemic Transformation Advocacy</t>
  </si>
  <si>
    <t>PO2: Resistance-Opposition Integration</t>
  </si>
  <si>
    <t>PO3: Strategic Institutional Navigation</t>
  </si>
  <si>
    <t>RG1: Legal Innovation for Sovereignty Protection</t>
  </si>
  <si>
    <t>RG2: Ethical Governance Framework Development</t>
  </si>
  <si>
    <t>RG3: Strategic Regulatory Navigation</t>
  </si>
  <si>
    <t>RG4: Self-Determined Sovereignty Assertion</t>
  </si>
  <si>
    <t>SC1: Inclusive Participation Structures</t>
  </si>
  <si>
    <t>SC2: Movement and Network Embeddedness</t>
  </si>
  <si>
    <t>SC3: Climate Crisis and Ecological Response</t>
  </si>
  <si>
    <t>PR1: Infrastructure and Access Deficits</t>
  </si>
  <si>
    <t>PR2: Colonial and Western-Centric Knowledge Domination</t>
  </si>
  <si>
    <t>PR3: Cultural Erasure and Heritage Threat</t>
  </si>
  <si>
    <t>PR4: Algorithmic Opacity and Asymmetric Power</t>
  </si>
  <si>
    <t>ROW_TOTAL</t>
  </si>
  <si>
    <t>SUB_TP</t>
  </si>
  <si>
    <t>SUB_RS</t>
  </si>
  <si>
    <t>SUB_GV</t>
  </si>
  <si>
    <t>SUB_TT</t>
  </si>
  <si>
    <t>SUB_PT</t>
  </si>
  <si>
    <t>SUB_PU</t>
  </si>
  <si>
    <t>SUB_OI</t>
  </si>
  <si>
    <t>SUB_PO</t>
  </si>
  <si>
    <t>SUB_RG</t>
  </si>
  <si>
    <t>SUB_SC</t>
  </si>
  <si>
    <t>SUB_PR</t>
  </si>
  <si>
    <t>DP1: Decentralized Organizational Governance</t>
  </si>
  <si>
    <t>DP2: Community Data Sovereignty and Control</t>
  </si>
  <si>
    <t>DP3: Community-Controlled Infrastructure</t>
  </si>
  <si>
    <t>DP4: Inclusive Participation and Representation</t>
  </si>
  <si>
    <t>DP5: Open Access and Transparent Systems</t>
  </si>
  <si>
    <t>DP6: Indigenous and Cultural Governance Integration</t>
  </si>
  <si>
    <t>DP7: Legal and Institutional Protection</t>
  </si>
  <si>
    <t>DP8: Resistance and Accountability Mechanisms</t>
  </si>
  <si>
    <t>DP9: Local Capacity and Self-Governance</t>
  </si>
  <si>
    <t>CV1: Worker and Member Economic Benefits</t>
  </si>
  <si>
    <t>CV2: Open Knowledge and Technology Commons</t>
  </si>
  <si>
    <t>CV3: Community Infrastructure and Capacity Assets</t>
  </si>
  <si>
    <t>CV4: Culturally-Specific Technology and Knowledge</t>
  </si>
  <si>
    <t>CV5: Alternative Economic Models and Structures</t>
  </si>
  <si>
    <t>BL1: Federated Multi-Scale Governance</t>
  </si>
  <si>
    <t>BL2: Multi-Network Coordination and Solidarity</t>
  </si>
  <si>
    <t>BL3: Bidirectional Knowledge and Resource Exchange</t>
  </si>
  <si>
    <t>BL4: Community Sovereignty Protection in External Engagement</t>
  </si>
  <si>
    <t>BL5: Global-Local Standards Navigation</t>
  </si>
  <si>
    <t>IM1: Policy and Regulatory Change</t>
  </si>
  <si>
    <t>IM2: Community Capacity Building</t>
  </si>
  <si>
    <t>IM3: Cultural and Linguistic Sovereignty</t>
  </si>
  <si>
    <t>IM4: Economic Value Transformation</t>
  </si>
  <si>
    <t>IM5: Governance and Institutional Transformation</t>
  </si>
  <si>
    <t>IM6: Climate and Ecological Transformation</t>
  </si>
  <si>
    <t>SUBTOTAL_Democratic Practices</t>
  </si>
  <si>
    <t>SUBTOTAL_Community Value</t>
  </si>
  <si>
    <t>SUBTOTAL_Balance</t>
  </si>
  <si>
    <t>SUBTOTAL_Impact</t>
  </si>
  <si>
    <t>GRAND_TOTAL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</si>
</sst>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0" tint="-0.499984740745262"/>
      <name val="Times New Roman"/>
      <family val="1"/>
    </font>
    <font>
      <i/>
      <sz val="12"/>
      <color theme="0" tint="-0.49998474074526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2"/>
  <sheetViews>
    <sheetView tabSelected="1" topLeftCell="T24" workbookViewId="0">
      <selection activeCell="BD40" sqref="BD40"/>
    </sheetView>
  </sheetViews>
  <sheetFormatPr baseColWidth="10" defaultColWidth="8.83203125" defaultRowHeight="16" x14ac:dyDescent="0.2"/>
  <cols>
    <col min="1" max="70" width="16.5" style="1" customWidth="1"/>
    <col min="71" max="16384" width="8.83203125" style="1"/>
  </cols>
  <sheetData>
    <row r="1" spans="1:70" ht="85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/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</row>
    <row r="2" spans="1:70" ht="68" x14ac:dyDescent="0.2">
      <c r="A2" s="2" t="s">
        <v>68</v>
      </c>
      <c r="B2" s="1">
        <v>0</v>
      </c>
      <c r="C2" s="1">
        <v>2</v>
      </c>
      <c r="D2" s="1">
        <v>1</v>
      </c>
      <c r="E2" s="1">
        <v>2</v>
      </c>
      <c r="F2" s="1">
        <v>0</v>
      </c>
      <c r="G2" s="1">
        <v>0</v>
      </c>
      <c r="H2" s="1">
        <v>2</v>
      </c>
      <c r="I2" s="1">
        <v>1</v>
      </c>
      <c r="J2" s="1">
        <v>3</v>
      </c>
      <c r="K2" s="1">
        <v>2</v>
      </c>
      <c r="L2" s="1">
        <v>0</v>
      </c>
      <c r="M2" s="1">
        <v>0</v>
      </c>
      <c r="N2" s="1">
        <v>6</v>
      </c>
      <c r="O2" s="1">
        <v>2</v>
      </c>
      <c r="P2" s="1">
        <v>1</v>
      </c>
      <c r="Q2" s="1">
        <v>1</v>
      </c>
      <c r="R2" s="1">
        <v>1</v>
      </c>
      <c r="S2" s="1">
        <v>1</v>
      </c>
      <c r="T2" s="1">
        <v>2</v>
      </c>
      <c r="U2" s="1">
        <v>1</v>
      </c>
      <c r="V2" s="1">
        <v>0</v>
      </c>
      <c r="W2" s="1">
        <v>2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1</v>
      </c>
      <c r="AL2" s="1">
        <v>1</v>
      </c>
      <c r="AM2" s="1">
        <v>2</v>
      </c>
      <c r="AN2" s="1">
        <v>1</v>
      </c>
      <c r="AO2" s="1">
        <v>0</v>
      </c>
      <c r="AP2" s="1">
        <v>0</v>
      </c>
      <c r="AQ2" s="1">
        <v>0</v>
      </c>
      <c r="AR2" s="1">
        <v>1</v>
      </c>
      <c r="AS2" s="1">
        <v>0</v>
      </c>
      <c r="AT2" s="1">
        <v>0</v>
      </c>
      <c r="AU2" s="1">
        <v>2</v>
      </c>
      <c r="AV2" s="1">
        <v>0</v>
      </c>
      <c r="AW2" s="1">
        <v>0</v>
      </c>
      <c r="AX2" s="1">
        <v>0</v>
      </c>
      <c r="AY2" s="1">
        <v>1</v>
      </c>
      <c r="AZ2" s="1">
        <v>0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f>SUM(B2:BE2)</f>
        <v>42</v>
      </c>
      <c r="BG2" s="5">
        <f>_xlfn.STDEV.P(B2:BE2)</f>
        <v>1.0732128000940513</v>
      </c>
      <c r="BH2" s="4">
        <v>5</v>
      </c>
      <c r="BI2" s="4">
        <v>8</v>
      </c>
      <c r="BJ2" s="4">
        <v>12</v>
      </c>
      <c r="BK2" s="4">
        <v>5</v>
      </c>
      <c r="BL2" s="4">
        <v>2</v>
      </c>
      <c r="BM2" s="4">
        <v>1</v>
      </c>
      <c r="BN2" s="4">
        <v>4</v>
      </c>
      <c r="BO2" s="4">
        <v>1</v>
      </c>
      <c r="BP2" s="4">
        <v>2</v>
      </c>
      <c r="BQ2" s="4">
        <v>1</v>
      </c>
      <c r="BR2" s="4">
        <v>1</v>
      </c>
    </row>
    <row r="3" spans="1:70" ht="51" x14ac:dyDescent="0.2">
      <c r="A3" s="2" t="s">
        <v>69</v>
      </c>
      <c r="B3" s="1">
        <v>6</v>
      </c>
      <c r="C3" s="1">
        <v>2</v>
      </c>
      <c r="D3" s="1">
        <v>1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1</v>
      </c>
      <c r="P3" s="1">
        <v>2</v>
      </c>
      <c r="Q3" s="1">
        <v>1</v>
      </c>
      <c r="R3" s="1">
        <v>1</v>
      </c>
      <c r="S3" s="1">
        <v>0</v>
      </c>
      <c r="T3" s="1">
        <v>0</v>
      </c>
      <c r="U3" s="1">
        <v>0</v>
      </c>
      <c r="V3" s="1">
        <v>2</v>
      </c>
      <c r="W3" s="1">
        <v>0</v>
      </c>
      <c r="X3" s="1">
        <v>0</v>
      </c>
      <c r="Y3" s="1">
        <v>1</v>
      </c>
      <c r="Z3" s="1">
        <v>0</v>
      </c>
      <c r="AA3" s="1">
        <v>1</v>
      </c>
      <c r="AB3" s="1">
        <v>1</v>
      </c>
      <c r="AC3" s="1">
        <v>0</v>
      </c>
      <c r="AD3" s="1">
        <v>1</v>
      </c>
      <c r="AE3" s="1">
        <v>0</v>
      </c>
      <c r="AF3" s="1">
        <v>2</v>
      </c>
      <c r="AG3" s="1">
        <v>0</v>
      </c>
      <c r="AH3" s="1">
        <v>1</v>
      </c>
      <c r="AI3" s="1">
        <v>1</v>
      </c>
      <c r="AJ3" s="1">
        <v>0</v>
      </c>
      <c r="AK3" s="1">
        <v>0</v>
      </c>
      <c r="AL3" s="1">
        <v>1</v>
      </c>
      <c r="AM3" s="1">
        <v>0</v>
      </c>
      <c r="AN3" s="1">
        <v>0</v>
      </c>
      <c r="AO3" s="1">
        <v>1</v>
      </c>
      <c r="AP3" s="1">
        <v>0</v>
      </c>
      <c r="AQ3" s="1">
        <v>0</v>
      </c>
      <c r="AR3" s="1">
        <v>3</v>
      </c>
      <c r="AS3" s="1">
        <v>0</v>
      </c>
      <c r="AT3" s="1">
        <v>1</v>
      </c>
      <c r="AU3" s="1">
        <v>0</v>
      </c>
      <c r="AV3" s="1">
        <v>1</v>
      </c>
      <c r="AW3" s="1">
        <v>1</v>
      </c>
      <c r="AX3" s="1">
        <v>1</v>
      </c>
      <c r="AY3" s="1">
        <v>0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2</v>
      </c>
      <c r="BF3" s="1">
        <f>SUM(B3:BE3)</f>
        <v>38</v>
      </c>
      <c r="BG3" s="5">
        <f t="shared" ref="BG3:BG26" si="0">_xlfn.STDEV.P(B3:BE3)</f>
        <v>1.0195787445442999</v>
      </c>
      <c r="BH3" s="4">
        <v>9</v>
      </c>
      <c r="BI3" s="4">
        <v>2</v>
      </c>
      <c r="BJ3" s="4">
        <v>5</v>
      </c>
      <c r="BK3" s="4">
        <v>3</v>
      </c>
      <c r="BL3" s="4">
        <v>3</v>
      </c>
      <c r="BM3" s="4">
        <v>4</v>
      </c>
      <c r="BN3" s="4">
        <v>2</v>
      </c>
      <c r="BO3" s="4">
        <v>4</v>
      </c>
      <c r="BP3" s="4">
        <v>3</v>
      </c>
      <c r="BQ3" s="4">
        <v>1</v>
      </c>
      <c r="BR3" s="4">
        <v>2</v>
      </c>
    </row>
    <row r="4" spans="1:70" ht="51" x14ac:dyDescent="0.2">
      <c r="A4" s="2" t="s">
        <v>70</v>
      </c>
      <c r="B4" s="1">
        <v>0</v>
      </c>
      <c r="C4" s="1">
        <v>0</v>
      </c>
      <c r="D4" s="1">
        <v>2</v>
      </c>
      <c r="E4" s="1">
        <v>0</v>
      </c>
      <c r="F4" s="1">
        <v>0</v>
      </c>
      <c r="G4" s="1">
        <v>0</v>
      </c>
      <c r="H4" s="1">
        <v>0</v>
      </c>
      <c r="I4" s="1">
        <v>2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5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0</v>
      </c>
      <c r="AK4" s="1">
        <v>1</v>
      </c>
      <c r="AL4" s="1">
        <v>0</v>
      </c>
      <c r="AM4" s="1">
        <v>1</v>
      </c>
      <c r="AN4" s="1">
        <v>2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</v>
      </c>
      <c r="AV4" s="1">
        <v>0</v>
      </c>
      <c r="AW4" s="1">
        <v>1</v>
      </c>
      <c r="AX4" s="1">
        <v>0</v>
      </c>
      <c r="AY4" s="1">
        <v>0</v>
      </c>
      <c r="AZ4" s="1">
        <v>0</v>
      </c>
      <c r="BA4" s="1">
        <v>1</v>
      </c>
      <c r="BB4" s="1">
        <v>1</v>
      </c>
      <c r="BC4" s="1">
        <v>0</v>
      </c>
      <c r="BD4" s="1">
        <v>0</v>
      </c>
      <c r="BE4" s="1">
        <v>0</v>
      </c>
      <c r="BF4" s="1">
        <f>SUM(B4:BE4)</f>
        <v>22</v>
      </c>
      <c r="BG4" s="5">
        <f t="shared" si="0"/>
        <v>0.83833532816467871</v>
      </c>
      <c r="BH4" s="4">
        <v>2</v>
      </c>
      <c r="BI4" s="4">
        <v>3</v>
      </c>
      <c r="BJ4" s="4">
        <v>2</v>
      </c>
      <c r="BK4" s="4">
        <v>6</v>
      </c>
      <c r="BL4" s="4">
        <v>0</v>
      </c>
      <c r="BM4" s="4">
        <v>2</v>
      </c>
      <c r="BN4" s="4">
        <v>3</v>
      </c>
      <c r="BO4" s="4">
        <v>0</v>
      </c>
      <c r="BP4" s="4">
        <v>2</v>
      </c>
      <c r="BQ4" s="4">
        <v>1</v>
      </c>
      <c r="BR4" s="4">
        <v>1</v>
      </c>
    </row>
    <row r="5" spans="1:70" ht="51" x14ac:dyDescent="0.2">
      <c r="A5" s="2" t="s">
        <v>71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1</v>
      </c>
      <c r="H5" s="1">
        <v>3</v>
      </c>
      <c r="I5" s="1">
        <v>2</v>
      </c>
      <c r="J5" s="1">
        <v>0</v>
      </c>
      <c r="K5" s="1">
        <v>1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1</v>
      </c>
      <c r="V5" s="1">
        <v>0</v>
      </c>
      <c r="W5" s="1">
        <v>1</v>
      </c>
      <c r="X5" s="1">
        <v>0</v>
      </c>
      <c r="Y5" s="1">
        <v>1</v>
      </c>
      <c r="Z5" s="1">
        <v>0</v>
      </c>
      <c r="AA5" s="1">
        <v>2</v>
      </c>
      <c r="AB5" s="1">
        <v>0</v>
      </c>
      <c r="AC5" s="1">
        <v>0</v>
      </c>
      <c r="AD5" s="1">
        <v>2</v>
      </c>
      <c r="AE5" s="1">
        <v>0</v>
      </c>
      <c r="AF5" s="1">
        <v>0</v>
      </c>
      <c r="AG5" s="1">
        <v>1</v>
      </c>
      <c r="AH5" s="1">
        <v>0</v>
      </c>
      <c r="AI5" s="1">
        <v>0</v>
      </c>
      <c r="AJ5" s="1">
        <v>1</v>
      </c>
      <c r="AK5" s="1">
        <v>1</v>
      </c>
      <c r="AL5" s="1">
        <v>0</v>
      </c>
      <c r="AM5" s="1">
        <v>1</v>
      </c>
      <c r="AN5" s="1">
        <v>0</v>
      </c>
      <c r="AO5" s="1">
        <v>0</v>
      </c>
      <c r="AP5" s="1">
        <v>2</v>
      </c>
      <c r="AQ5" s="1">
        <v>0</v>
      </c>
      <c r="AR5" s="1">
        <v>2</v>
      </c>
      <c r="AS5" s="1">
        <v>2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4</v>
      </c>
      <c r="AZ5" s="1">
        <v>0</v>
      </c>
      <c r="BA5" s="1">
        <v>0</v>
      </c>
      <c r="BB5" s="1">
        <v>0</v>
      </c>
      <c r="BC5" s="1">
        <v>1</v>
      </c>
      <c r="BD5" s="1">
        <v>0</v>
      </c>
      <c r="BE5" s="1">
        <v>0</v>
      </c>
      <c r="BF5" s="1">
        <f>SUM(B5:BE5)</f>
        <v>33</v>
      </c>
      <c r="BG5" s="5">
        <f t="shared" si="0"/>
        <v>0.88189701606183901</v>
      </c>
      <c r="BH5" s="4">
        <v>2</v>
      </c>
      <c r="BI5" s="4">
        <v>7</v>
      </c>
      <c r="BJ5" s="4">
        <v>2</v>
      </c>
      <c r="BK5" s="4">
        <v>3</v>
      </c>
      <c r="BL5" s="4">
        <v>4</v>
      </c>
      <c r="BM5" s="4">
        <v>3</v>
      </c>
      <c r="BN5" s="4">
        <v>3</v>
      </c>
      <c r="BO5" s="4">
        <v>4</v>
      </c>
      <c r="BP5" s="4">
        <v>0</v>
      </c>
      <c r="BQ5" s="4">
        <v>4</v>
      </c>
      <c r="BR5" s="4">
        <v>1</v>
      </c>
    </row>
    <row r="6" spans="1:70" ht="68" x14ac:dyDescent="0.2">
      <c r="A6" s="2" t="s">
        <v>72</v>
      </c>
      <c r="B6" s="1">
        <v>0</v>
      </c>
      <c r="C6" s="1">
        <v>4</v>
      </c>
      <c r="D6" s="1">
        <v>2</v>
      </c>
      <c r="E6" s="1">
        <v>1</v>
      </c>
      <c r="F6" s="1">
        <v>0</v>
      </c>
      <c r="G6" s="1">
        <v>1</v>
      </c>
      <c r="H6" s="1">
        <v>1</v>
      </c>
      <c r="I6" s="1">
        <v>0</v>
      </c>
      <c r="J6" s="1">
        <v>1</v>
      </c>
      <c r="K6" s="1">
        <v>0</v>
      </c>
      <c r="L6" s="1">
        <v>1</v>
      </c>
      <c r="M6" s="1">
        <v>0</v>
      </c>
      <c r="N6" s="1">
        <v>2</v>
      </c>
      <c r="O6" s="1">
        <v>1</v>
      </c>
      <c r="P6" s="1">
        <v>1</v>
      </c>
      <c r="Q6" s="1">
        <v>0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3</v>
      </c>
      <c r="X6" s="1">
        <v>1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1</v>
      </c>
      <c r="AM6" s="1">
        <v>1</v>
      </c>
      <c r="AN6" s="1">
        <v>0</v>
      </c>
      <c r="AO6" s="1">
        <v>1</v>
      </c>
      <c r="AP6" s="1">
        <v>0</v>
      </c>
      <c r="AQ6" s="1">
        <v>1</v>
      </c>
      <c r="AR6" s="1">
        <v>3</v>
      </c>
      <c r="AS6" s="1">
        <v>0</v>
      </c>
      <c r="AT6" s="1">
        <v>0</v>
      </c>
      <c r="AU6" s="1">
        <v>0</v>
      </c>
      <c r="AV6" s="1">
        <v>0</v>
      </c>
      <c r="AW6" s="1">
        <v>1</v>
      </c>
      <c r="AX6" s="1">
        <v>0</v>
      </c>
      <c r="AY6" s="1">
        <v>1</v>
      </c>
      <c r="AZ6" s="1">
        <v>1</v>
      </c>
      <c r="BA6" s="1">
        <v>0</v>
      </c>
      <c r="BB6" s="1">
        <v>1</v>
      </c>
      <c r="BC6" s="1">
        <v>0</v>
      </c>
      <c r="BD6" s="1">
        <v>0</v>
      </c>
      <c r="BE6" s="1">
        <v>1</v>
      </c>
      <c r="BF6" s="1">
        <f>SUM(B6:BE6)</f>
        <v>35</v>
      </c>
      <c r="BG6" s="5">
        <f t="shared" si="0"/>
        <v>0.85695682505013049</v>
      </c>
      <c r="BH6" s="4">
        <v>8</v>
      </c>
      <c r="BI6" s="4">
        <v>3</v>
      </c>
      <c r="BJ6" s="4">
        <v>5</v>
      </c>
      <c r="BK6" s="4">
        <v>4</v>
      </c>
      <c r="BL6" s="4">
        <v>2</v>
      </c>
      <c r="BM6" s="4">
        <v>1</v>
      </c>
      <c r="BN6" s="4">
        <v>4</v>
      </c>
      <c r="BO6" s="4">
        <v>3</v>
      </c>
      <c r="BP6" s="4">
        <v>1</v>
      </c>
      <c r="BQ6" s="4">
        <v>2</v>
      </c>
      <c r="BR6" s="4">
        <v>2</v>
      </c>
    </row>
    <row r="7" spans="1:70" ht="68" x14ac:dyDescent="0.2">
      <c r="A7" s="2" t="s">
        <v>73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1</v>
      </c>
      <c r="V7" s="1">
        <v>2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</v>
      </c>
      <c r="AC7" s="1">
        <v>1</v>
      </c>
      <c r="AD7" s="1">
        <v>0</v>
      </c>
      <c r="AE7" s="1">
        <v>0</v>
      </c>
      <c r="AF7" s="1">
        <v>4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3</v>
      </c>
      <c r="AS7" s="1">
        <v>0</v>
      </c>
      <c r="AT7" s="1">
        <v>1</v>
      </c>
      <c r="AU7" s="1">
        <v>1</v>
      </c>
      <c r="AV7" s="1">
        <v>0</v>
      </c>
      <c r="AW7" s="1">
        <v>1</v>
      </c>
      <c r="AX7" s="1">
        <v>1</v>
      </c>
      <c r="AY7" s="1">
        <v>0</v>
      </c>
      <c r="AZ7" s="1">
        <v>1</v>
      </c>
      <c r="BA7" s="1">
        <v>0</v>
      </c>
      <c r="BB7" s="1">
        <v>0</v>
      </c>
      <c r="BC7" s="1">
        <v>1</v>
      </c>
      <c r="BD7" s="1">
        <v>1</v>
      </c>
      <c r="BE7" s="1">
        <v>0</v>
      </c>
      <c r="BF7" s="1">
        <f>SUM(B7:BE7)</f>
        <v>24</v>
      </c>
      <c r="BG7" s="5">
        <f t="shared" si="0"/>
        <v>0.79859570624992493</v>
      </c>
      <c r="BH7" s="4">
        <v>1</v>
      </c>
      <c r="BI7" s="4">
        <v>1</v>
      </c>
      <c r="BJ7" s="4">
        <v>1</v>
      </c>
      <c r="BK7" s="4">
        <v>3</v>
      </c>
      <c r="BL7" s="4">
        <v>3</v>
      </c>
      <c r="BM7" s="4">
        <v>5</v>
      </c>
      <c r="BN7" s="4">
        <v>0</v>
      </c>
      <c r="BO7" s="4">
        <v>4</v>
      </c>
      <c r="BP7" s="4">
        <v>3</v>
      </c>
      <c r="BQ7" s="4">
        <v>1</v>
      </c>
      <c r="BR7" s="4">
        <v>2</v>
      </c>
    </row>
    <row r="8" spans="1:70" ht="51" x14ac:dyDescent="0.2">
      <c r="A8" s="2" t="s">
        <v>74</v>
      </c>
      <c r="B8" s="1">
        <v>1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3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1</v>
      </c>
      <c r="Q8" s="1">
        <v>2</v>
      </c>
      <c r="R8" s="1">
        <v>0</v>
      </c>
      <c r="S8" s="1">
        <v>0</v>
      </c>
      <c r="T8" s="1">
        <v>2</v>
      </c>
      <c r="U8" s="1">
        <v>1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v>2</v>
      </c>
      <c r="AG8" s="1">
        <v>1</v>
      </c>
      <c r="AH8" s="1">
        <v>1</v>
      </c>
      <c r="AI8" s="1">
        <v>1</v>
      </c>
      <c r="AJ8" s="1">
        <v>0</v>
      </c>
      <c r="AK8" s="1">
        <v>1</v>
      </c>
      <c r="AL8" s="1">
        <v>0</v>
      </c>
      <c r="AM8" s="1">
        <v>1</v>
      </c>
      <c r="AN8" s="1">
        <v>1</v>
      </c>
      <c r="AO8" s="1">
        <v>0</v>
      </c>
      <c r="AP8" s="1">
        <v>0</v>
      </c>
      <c r="AQ8" s="1">
        <v>0</v>
      </c>
      <c r="AR8" s="1">
        <v>1</v>
      </c>
      <c r="AS8" s="1">
        <v>0</v>
      </c>
      <c r="AT8" s="1">
        <v>1</v>
      </c>
      <c r="AU8" s="1">
        <v>4</v>
      </c>
      <c r="AV8" s="1">
        <v>0</v>
      </c>
      <c r="AW8" s="1">
        <v>2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0</v>
      </c>
      <c r="BD8" s="1">
        <v>1</v>
      </c>
      <c r="BE8" s="1">
        <v>0</v>
      </c>
      <c r="BF8" s="1">
        <f>SUM(B8:BE8)</f>
        <v>33</v>
      </c>
      <c r="BG8" s="5">
        <f t="shared" si="0"/>
        <v>0.84042475898214952</v>
      </c>
      <c r="BH8" s="4">
        <v>2</v>
      </c>
      <c r="BI8" s="4">
        <v>4</v>
      </c>
      <c r="BJ8" s="4">
        <v>4</v>
      </c>
      <c r="BK8" s="4">
        <v>4</v>
      </c>
      <c r="BL8" s="4">
        <v>1</v>
      </c>
      <c r="BM8" s="4">
        <v>6</v>
      </c>
      <c r="BN8" s="4">
        <v>2</v>
      </c>
      <c r="BO8" s="4">
        <v>2</v>
      </c>
      <c r="BP8" s="4">
        <v>6</v>
      </c>
      <c r="BQ8" s="4">
        <v>0</v>
      </c>
      <c r="BR8" s="4">
        <v>2</v>
      </c>
    </row>
    <row r="9" spans="1:70" ht="68" x14ac:dyDescent="0.2">
      <c r="A9" s="2" t="s">
        <v>75</v>
      </c>
      <c r="B9" s="1">
        <v>1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2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1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>
        <v>2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2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f>SUM(B9:BE9)</f>
        <v>18</v>
      </c>
      <c r="BG9" s="5">
        <f t="shared" si="0"/>
        <v>0.62982828887672848</v>
      </c>
      <c r="BH9" s="4">
        <v>2</v>
      </c>
      <c r="BI9" s="4">
        <v>3</v>
      </c>
      <c r="BJ9" s="4">
        <v>2</v>
      </c>
      <c r="BK9" s="4">
        <v>2</v>
      </c>
      <c r="BL9" s="4">
        <v>1</v>
      </c>
      <c r="BM9" s="4">
        <v>1</v>
      </c>
      <c r="BN9" s="4">
        <v>0</v>
      </c>
      <c r="BO9" s="4">
        <v>4</v>
      </c>
      <c r="BP9" s="4">
        <v>0</v>
      </c>
      <c r="BQ9" s="4">
        <v>2</v>
      </c>
      <c r="BR9" s="4">
        <v>1</v>
      </c>
    </row>
    <row r="10" spans="1:70" ht="51" x14ac:dyDescent="0.2">
      <c r="A10" s="2" t="s">
        <v>76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2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2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</v>
      </c>
      <c r="AL10" s="1">
        <v>0</v>
      </c>
      <c r="AM10" s="1">
        <v>1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f>SUM(B10:BE10)</f>
        <v>13</v>
      </c>
      <c r="BG10" s="5">
        <f t="shared" si="0"/>
        <v>0.53422411791612823</v>
      </c>
      <c r="BH10" s="4">
        <v>0</v>
      </c>
      <c r="BI10" s="4">
        <v>3</v>
      </c>
      <c r="BJ10" s="4">
        <v>3</v>
      </c>
      <c r="BK10" s="4">
        <v>3</v>
      </c>
      <c r="BL10" s="4">
        <v>0</v>
      </c>
      <c r="BM10" s="4">
        <v>1</v>
      </c>
      <c r="BN10" s="4">
        <v>2</v>
      </c>
      <c r="BO10" s="4">
        <v>0</v>
      </c>
      <c r="BP10" s="4">
        <v>0</v>
      </c>
      <c r="BQ10" s="4">
        <v>1</v>
      </c>
      <c r="BR10" s="4">
        <v>0</v>
      </c>
    </row>
    <row r="11" spans="1:70" ht="68" x14ac:dyDescent="0.2">
      <c r="A11" s="2" t="s">
        <v>77</v>
      </c>
      <c r="B11" s="1">
        <v>1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4</v>
      </c>
      <c r="K11" s="1">
        <v>1</v>
      </c>
      <c r="L11" s="1">
        <v>0</v>
      </c>
      <c r="M11" s="1">
        <v>0</v>
      </c>
      <c r="N11" s="1">
        <v>0</v>
      </c>
      <c r="O11" s="1">
        <v>5</v>
      </c>
      <c r="P11" s="1">
        <v>1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2</v>
      </c>
      <c r="AK11" s="1">
        <v>0</v>
      </c>
      <c r="AL11" s="1">
        <v>2</v>
      </c>
      <c r="AM11" s="1">
        <v>0</v>
      </c>
      <c r="AN11" s="1">
        <v>2</v>
      </c>
      <c r="AO11" s="1">
        <v>0</v>
      </c>
      <c r="AP11" s="1">
        <v>1</v>
      </c>
      <c r="AQ11" s="1">
        <v>0</v>
      </c>
      <c r="AR11" s="1">
        <v>1</v>
      </c>
      <c r="AS11" s="1">
        <v>0</v>
      </c>
      <c r="AT11" s="1">
        <v>1</v>
      </c>
      <c r="AU11" s="1">
        <v>1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f>SUM(B11:BE11)</f>
        <v>28</v>
      </c>
      <c r="BG11" s="5">
        <f t="shared" si="0"/>
        <v>0.96362411165943151</v>
      </c>
      <c r="BH11" s="4">
        <v>2</v>
      </c>
      <c r="BI11" s="4">
        <v>6</v>
      </c>
      <c r="BJ11" s="4">
        <v>7</v>
      </c>
      <c r="BK11" s="4">
        <v>1</v>
      </c>
      <c r="BL11" s="4">
        <v>1</v>
      </c>
      <c r="BM11" s="4">
        <v>3</v>
      </c>
      <c r="BN11" s="4">
        <v>5</v>
      </c>
      <c r="BO11" s="4">
        <v>2</v>
      </c>
      <c r="BP11" s="4">
        <v>1</v>
      </c>
      <c r="BQ11" s="4">
        <v>0</v>
      </c>
      <c r="BR11" s="4">
        <v>0</v>
      </c>
    </row>
    <row r="12" spans="1:70" ht="68" x14ac:dyDescent="0.2">
      <c r="A12" s="2" t="s">
        <v>78</v>
      </c>
      <c r="B12" s="1">
        <v>1</v>
      </c>
      <c r="C12" s="1">
        <v>7</v>
      </c>
      <c r="D12" s="1">
        <v>1</v>
      </c>
      <c r="E12" s="1">
        <v>0</v>
      </c>
      <c r="F12" s="1">
        <v>0</v>
      </c>
      <c r="G12" s="1">
        <v>2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0</v>
      </c>
      <c r="N12" s="1">
        <v>1</v>
      </c>
      <c r="O12" s="1">
        <v>0</v>
      </c>
      <c r="P12" s="1">
        <v>1</v>
      </c>
      <c r="Q12" s="1">
        <v>0</v>
      </c>
      <c r="R12" s="1">
        <v>1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3</v>
      </c>
      <c r="Y12" s="1">
        <v>0</v>
      </c>
      <c r="Z12" s="1">
        <v>0</v>
      </c>
      <c r="AA12" s="1">
        <v>3</v>
      </c>
      <c r="AB12" s="1">
        <v>1</v>
      </c>
      <c r="AC12" s="1">
        <v>0</v>
      </c>
      <c r="AD12" s="1">
        <v>1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  <c r="AM12" s="1">
        <v>0</v>
      </c>
      <c r="AN12" s="1">
        <v>0</v>
      </c>
      <c r="AO12" s="1">
        <v>3</v>
      </c>
      <c r="AP12" s="1">
        <v>0</v>
      </c>
      <c r="AQ12" s="1">
        <v>0</v>
      </c>
      <c r="AR12" s="1">
        <v>2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1</v>
      </c>
      <c r="BA12" s="1">
        <v>0</v>
      </c>
      <c r="BB12" s="1">
        <v>1</v>
      </c>
      <c r="BC12" s="1">
        <v>0</v>
      </c>
      <c r="BD12" s="1">
        <v>0</v>
      </c>
      <c r="BE12" s="1">
        <v>1</v>
      </c>
      <c r="BF12" s="1">
        <f>SUM(B12:BE12)</f>
        <v>35</v>
      </c>
      <c r="BG12" s="5">
        <f t="shared" si="0"/>
        <v>1.1735553429034111</v>
      </c>
      <c r="BH12" s="4">
        <v>11</v>
      </c>
      <c r="BI12" s="4">
        <v>2</v>
      </c>
      <c r="BJ12" s="4">
        <v>3</v>
      </c>
      <c r="BK12" s="4">
        <v>4</v>
      </c>
      <c r="BL12" s="4">
        <v>6</v>
      </c>
      <c r="BM12" s="4">
        <v>0</v>
      </c>
      <c r="BN12" s="4">
        <v>4</v>
      </c>
      <c r="BO12" s="4">
        <v>2</v>
      </c>
      <c r="BP12" s="4">
        <v>0</v>
      </c>
      <c r="BQ12" s="4">
        <v>1</v>
      </c>
      <c r="BR12" s="4">
        <v>2</v>
      </c>
    </row>
    <row r="13" spans="1:70" ht="85" x14ac:dyDescent="0.2">
      <c r="A13" s="2" t="s">
        <v>79</v>
      </c>
      <c r="B13" s="1">
        <v>0</v>
      </c>
      <c r="C13" s="1">
        <v>0</v>
      </c>
      <c r="D13" s="1">
        <v>3</v>
      </c>
      <c r="E13" s="1">
        <v>0</v>
      </c>
      <c r="F13" s="1">
        <v>0</v>
      </c>
      <c r="G13" s="1">
        <v>1</v>
      </c>
      <c r="H13" s="1">
        <v>0</v>
      </c>
      <c r="I13" s="1">
        <v>2</v>
      </c>
      <c r="J13" s="1">
        <v>2</v>
      </c>
      <c r="K13" s="1">
        <v>0</v>
      </c>
      <c r="L13" s="1">
        <v>1</v>
      </c>
      <c r="M13" s="1">
        <v>0</v>
      </c>
      <c r="N13" s="1">
        <v>1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3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  <c r="AA13" s="1">
        <v>2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1</v>
      </c>
      <c r="AO13" s="1">
        <v>0</v>
      </c>
      <c r="AP13" s="1">
        <v>1</v>
      </c>
      <c r="AQ13" s="1">
        <v>0</v>
      </c>
      <c r="AR13" s="1">
        <v>0</v>
      </c>
      <c r="AS13" s="1">
        <v>0</v>
      </c>
      <c r="AT13" s="1">
        <v>0</v>
      </c>
      <c r="AU13" s="1">
        <v>2</v>
      </c>
      <c r="AV13" s="1">
        <v>1</v>
      </c>
      <c r="AW13" s="1">
        <v>0</v>
      </c>
      <c r="AX13" s="1">
        <v>0</v>
      </c>
      <c r="AY13" s="1">
        <v>1</v>
      </c>
      <c r="AZ13" s="1">
        <v>0</v>
      </c>
      <c r="BA13" s="1">
        <v>1</v>
      </c>
      <c r="BB13" s="1">
        <v>1</v>
      </c>
      <c r="BC13" s="1">
        <v>0</v>
      </c>
      <c r="BD13" s="1">
        <v>0</v>
      </c>
      <c r="BE13" s="1">
        <v>0</v>
      </c>
      <c r="BF13" s="1">
        <f>SUM(B13:BE13)</f>
        <v>28</v>
      </c>
      <c r="BG13" s="5">
        <f t="shared" si="0"/>
        <v>0.77919372247397956</v>
      </c>
      <c r="BH13" s="4">
        <v>4</v>
      </c>
      <c r="BI13" s="4">
        <v>5</v>
      </c>
      <c r="BJ13" s="4">
        <v>2</v>
      </c>
      <c r="BK13" s="4">
        <v>5</v>
      </c>
      <c r="BL13" s="4">
        <v>2</v>
      </c>
      <c r="BM13" s="4">
        <v>1</v>
      </c>
      <c r="BN13" s="4">
        <v>3</v>
      </c>
      <c r="BO13" s="4">
        <v>0</v>
      </c>
      <c r="BP13" s="4">
        <v>3</v>
      </c>
      <c r="BQ13" s="4">
        <v>2</v>
      </c>
      <c r="BR13" s="4">
        <v>1</v>
      </c>
    </row>
    <row r="14" spans="1:70" ht="68" x14ac:dyDescent="0.2">
      <c r="A14" s="2" t="s">
        <v>80</v>
      </c>
      <c r="B14" s="1">
        <v>1</v>
      </c>
      <c r="C14" s="1">
        <v>0</v>
      </c>
      <c r="D14" s="1">
        <v>0</v>
      </c>
      <c r="E14" s="1">
        <v>0</v>
      </c>
      <c r="F14" s="1">
        <v>1</v>
      </c>
      <c r="G14" s="1">
        <v>1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3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2</v>
      </c>
      <c r="AB14" s="1">
        <v>0</v>
      </c>
      <c r="AC14" s="1">
        <v>2</v>
      </c>
      <c r="AD14" s="1">
        <v>1</v>
      </c>
      <c r="AE14" s="1">
        <v>0</v>
      </c>
      <c r="AF14" s="1">
        <v>1</v>
      </c>
      <c r="AG14" s="1">
        <v>3</v>
      </c>
      <c r="AH14" s="1">
        <v>2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</v>
      </c>
      <c r="AQ14" s="1">
        <v>0</v>
      </c>
      <c r="AR14" s="1">
        <v>0</v>
      </c>
      <c r="AS14" s="1">
        <v>0</v>
      </c>
      <c r="AT14" s="1">
        <v>0</v>
      </c>
      <c r="AU14" s="1">
        <v>1</v>
      </c>
      <c r="AV14" s="1">
        <v>0</v>
      </c>
      <c r="AW14" s="1">
        <v>0</v>
      </c>
      <c r="AX14" s="1">
        <v>0</v>
      </c>
      <c r="AY14" s="1">
        <v>1</v>
      </c>
      <c r="AZ14" s="1">
        <v>0</v>
      </c>
      <c r="BA14" s="1">
        <v>0</v>
      </c>
      <c r="BB14" s="1">
        <v>0</v>
      </c>
      <c r="BC14" s="1">
        <v>1</v>
      </c>
      <c r="BD14" s="1">
        <v>2</v>
      </c>
      <c r="BE14" s="1">
        <v>0</v>
      </c>
      <c r="BF14" s="1">
        <f>SUM(B14:BE14)</f>
        <v>27</v>
      </c>
      <c r="BG14" s="5">
        <f t="shared" si="0"/>
        <v>0.77898907539954421</v>
      </c>
      <c r="BH14" s="4">
        <v>3</v>
      </c>
      <c r="BI14" s="4">
        <v>3</v>
      </c>
      <c r="BJ14" s="4">
        <v>1</v>
      </c>
      <c r="BK14" s="4">
        <v>3</v>
      </c>
      <c r="BL14" s="4">
        <v>5</v>
      </c>
      <c r="BM14" s="4">
        <v>6</v>
      </c>
      <c r="BN14" s="4">
        <v>1</v>
      </c>
      <c r="BO14" s="4">
        <v>0</v>
      </c>
      <c r="BP14" s="4">
        <v>1</v>
      </c>
      <c r="BQ14" s="4">
        <v>1</v>
      </c>
      <c r="BR14" s="4">
        <v>3</v>
      </c>
    </row>
    <row r="15" spans="1:70" ht="51" x14ac:dyDescent="0.2">
      <c r="A15" s="2" t="s">
        <v>81</v>
      </c>
      <c r="B15" s="1">
        <v>1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2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2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1</v>
      </c>
      <c r="AC15" s="1">
        <v>0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>
        <v>1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>
        <f>SUM(B15:BE15)</f>
        <v>17</v>
      </c>
      <c r="BG15" s="5">
        <f t="shared" si="0"/>
        <v>0.5318311647084083</v>
      </c>
      <c r="BH15" s="4">
        <v>2</v>
      </c>
      <c r="BI15" s="4">
        <v>3</v>
      </c>
      <c r="BJ15" s="4">
        <v>3</v>
      </c>
      <c r="BK15" s="4">
        <v>1</v>
      </c>
      <c r="BL15" s="4">
        <v>3</v>
      </c>
      <c r="BM15" s="4">
        <v>1</v>
      </c>
      <c r="BN15" s="4">
        <v>0</v>
      </c>
      <c r="BO15" s="4">
        <v>2</v>
      </c>
      <c r="BP15" s="4">
        <v>0</v>
      </c>
      <c r="BQ15" s="4">
        <v>1</v>
      </c>
      <c r="BR15" s="4">
        <v>1</v>
      </c>
    </row>
    <row r="16" spans="1:70" ht="51" x14ac:dyDescent="0.2">
      <c r="A16" s="2" t="s">
        <v>82</v>
      </c>
      <c r="B16" s="1">
        <v>1</v>
      </c>
      <c r="C16" s="1">
        <v>1</v>
      </c>
      <c r="D16" s="1">
        <v>5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3</v>
      </c>
      <c r="Q16" s="1">
        <v>0</v>
      </c>
      <c r="R16" s="1">
        <v>0</v>
      </c>
      <c r="S16" s="1">
        <v>0</v>
      </c>
      <c r="T16" s="1">
        <v>2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1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</v>
      </c>
      <c r="AM16" s="1">
        <v>1</v>
      </c>
      <c r="AN16" s="1">
        <v>1</v>
      </c>
      <c r="AO16" s="1">
        <v>1</v>
      </c>
      <c r="AP16" s="1">
        <v>0</v>
      </c>
      <c r="AQ16" s="1">
        <v>1</v>
      </c>
      <c r="AR16" s="1">
        <v>2</v>
      </c>
      <c r="AS16" s="1">
        <v>0</v>
      </c>
      <c r="AT16" s="1">
        <v>0</v>
      </c>
      <c r="AU16" s="1">
        <v>1</v>
      </c>
      <c r="AV16" s="1">
        <v>0</v>
      </c>
      <c r="AW16" s="1">
        <v>1</v>
      </c>
      <c r="AX16" s="1">
        <v>1</v>
      </c>
      <c r="AY16" s="1">
        <v>0</v>
      </c>
      <c r="AZ16" s="1">
        <v>0</v>
      </c>
      <c r="BA16" s="1">
        <v>1</v>
      </c>
      <c r="BB16" s="1">
        <v>1</v>
      </c>
      <c r="BC16" s="1">
        <v>0</v>
      </c>
      <c r="BD16" s="1">
        <v>0</v>
      </c>
      <c r="BE16" s="1">
        <v>1</v>
      </c>
      <c r="BF16" s="1">
        <f>SUM(B16:BE16)</f>
        <v>30</v>
      </c>
      <c r="BG16" s="5">
        <f t="shared" si="0"/>
        <v>0.8856854834026604</v>
      </c>
      <c r="BH16" s="4">
        <v>7</v>
      </c>
      <c r="BI16" s="4">
        <v>1</v>
      </c>
      <c r="BJ16" s="4">
        <v>4</v>
      </c>
      <c r="BK16" s="4">
        <v>4</v>
      </c>
      <c r="BL16" s="4">
        <v>1</v>
      </c>
      <c r="BM16" s="4">
        <v>0</v>
      </c>
      <c r="BN16" s="4">
        <v>5</v>
      </c>
      <c r="BO16" s="4">
        <v>2</v>
      </c>
      <c r="BP16" s="4">
        <v>3</v>
      </c>
      <c r="BQ16" s="4">
        <v>1</v>
      </c>
      <c r="BR16" s="4">
        <v>2</v>
      </c>
    </row>
    <row r="17" spans="1:70" ht="68" x14ac:dyDescent="0.2">
      <c r="A17" s="2" t="s">
        <v>83</v>
      </c>
      <c r="B17" s="1">
        <v>0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1</v>
      </c>
      <c r="W17" s="1">
        <v>1</v>
      </c>
      <c r="X17" s="1">
        <v>1</v>
      </c>
      <c r="Y17" s="1">
        <v>0</v>
      </c>
      <c r="Z17" s="1">
        <v>0</v>
      </c>
      <c r="AA17" s="1">
        <v>1</v>
      </c>
      <c r="AB17" s="1">
        <v>6</v>
      </c>
      <c r="AC17" s="1">
        <v>0</v>
      </c>
      <c r="AD17" s="1">
        <v>0</v>
      </c>
      <c r="AE17" s="1">
        <v>0</v>
      </c>
      <c r="AF17" s="1">
        <v>2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</v>
      </c>
      <c r="AP17" s="1">
        <v>1</v>
      </c>
      <c r="AQ17" s="1">
        <v>1</v>
      </c>
      <c r="AR17" s="1">
        <v>4</v>
      </c>
      <c r="AS17" s="1">
        <v>0</v>
      </c>
      <c r="AT17" s="1">
        <v>0</v>
      </c>
      <c r="AU17" s="1">
        <v>0</v>
      </c>
      <c r="AV17" s="1">
        <v>0</v>
      </c>
      <c r="AW17" s="1">
        <v>1</v>
      </c>
      <c r="AX17" s="1">
        <v>1</v>
      </c>
      <c r="AY17" s="1">
        <v>0</v>
      </c>
      <c r="AZ17" s="1">
        <v>1</v>
      </c>
      <c r="BA17" s="1">
        <v>1</v>
      </c>
      <c r="BB17" s="1">
        <v>0</v>
      </c>
      <c r="BC17" s="1">
        <v>1</v>
      </c>
      <c r="BD17" s="1">
        <v>0</v>
      </c>
      <c r="BE17" s="1">
        <v>0</v>
      </c>
      <c r="BF17" s="1">
        <f>SUM(B17:BE17)</f>
        <v>29</v>
      </c>
      <c r="BG17" s="5">
        <f t="shared" si="0"/>
        <v>1.0175438114220268</v>
      </c>
      <c r="BH17" s="4">
        <v>1</v>
      </c>
      <c r="BI17" s="4">
        <v>2</v>
      </c>
      <c r="BJ17" s="4">
        <v>2</v>
      </c>
      <c r="BK17" s="4">
        <v>3</v>
      </c>
      <c r="BL17" s="4">
        <v>7</v>
      </c>
      <c r="BM17" s="4">
        <v>2</v>
      </c>
      <c r="BN17" s="4">
        <v>3</v>
      </c>
      <c r="BO17" s="4">
        <v>4</v>
      </c>
      <c r="BP17" s="4">
        <v>2</v>
      </c>
      <c r="BQ17" s="4">
        <v>2</v>
      </c>
      <c r="BR17" s="4">
        <v>1</v>
      </c>
    </row>
    <row r="18" spans="1:70" ht="85" x14ac:dyDescent="0.2">
      <c r="A18" s="2" t="s">
        <v>84</v>
      </c>
      <c r="B18" s="1">
        <v>2</v>
      </c>
      <c r="C18" s="1">
        <v>1</v>
      </c>
      <c r="D18" s="1">
        <v>1</v>
      </c>
      <c r="E18" s="1">
        <v>0</v>
      </c>
      <c r="F18" s="1">
        <v>1</v>
      </c>
      <c r="G18" s="1">
        <v>2</v>
      </c>
      <c r="H18" s="1">
        <v>1</v>
      </c>
      <c r="I18" s="1">
        <v>1</v>
      </c>
      <c r="J18" s="1">
        <v>0</v>
      </c>
      <c r="K18" s="1">
        <v>0</v>
      </c>
      <c r="L18" s="1">
        <v>1</v>
      </c>
      <c r="M18" s="1">
        <v>2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1</v>
      </c>
      <c r="Y18" s="1">
        <v>0</v>
      </c>
      <c r="Z18" s="1">
        <v>0</v>
      </c>
      <c r="AA18" s="1">
        <v>6</v>
      </c>
      <c r="AB18" s="1">
        <v>1</v>
      </c>
      <c r="AC18" s="1">
        <v>0</v>
      </c>
      <c r="AD18" s="1">
        <v>2</v>
      </c>
      <c r="AE18" s="1">
        <v>0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</v>
      </c>
      <c r="AP18" s="1">
        <v>1</v>
      </c>
      <c r="AQ18" s="1">
        <v>0</v>
      </c>
      <c r="AR18" s="1">
        <v>1</v>
      </c>
      <c r="AS18" s="1">
        <v>0</v>
      </c>
      <c r="AT18" s="1">
        <v>0</v>
      </c>
      <c r="AU18" s="1">
        <v>0</v>
      </c>
      <c r="AV18" s="1">
        <v>2</v>
      </c>
      <c r="AW18" s="1">
        <v>0</v>
      </c>
      <c r="AX18" s="1">
        <v>0</v>
      </c>
      <c r="AY18" s="1">
        <v>1</v>
      </c>
      <c r="AZ18" s="1">
        <v>0</v>
      </c>
      <c r="BA18" s="1">
        <v>0</v>
      </c>
      <c r="BB18" s="1">
        <v>0</v>
      </c>
      <c r="BC18" s="1">
        <v>1</v>
      </c>
      <c r="BD18" s="1">
        <v>0</v>
      </c>
      <c r="BE18" s="1">
        <v>0</v>
      </c>
      <c r="BF18" s="1">
        <f>SUM(B18:BE18)</f>
        <v>31</v>
      </c>
      <c r="BG18" s="5">
        <f t="shared" si="0"/>
        <v>0.98051813666373888</v>
      </c>
      <c r="BH18" s="4">
        <v>7</v>
      </c>
      <c r="BI18" s="4">
        <v>5</v>
      </c>
      <c r="BJ18" s="4">
        <v>0</v>
      </c>
      <c r="BK18" s="4">
        <v>2</v>
      </c>
      <c r="BL18" s="4">
        <v>9</v>
      </c>
      <c r="BM18" s="4">
        <v>1</v>
      </c>
      <c r="BN18" s="4">
        <v>2</v>
      </c>
      <c r="BO18" s="4">
        <v>1</v>
      </c>
      <c r="BP18" s="4">
        <v>2</v>
      </c>
      <c r="BQ18" s="4">
        <v>1</v>
      </c>
      <c r="BR18" s="4">
        <v>1</v>
      </c>
    </row>
    <row r="19" spans="1:70" ht="85" x14ac:dyDescent="0.2">
      <c r="A19" s="2" t="s">
        <v>85</v>
      </c>
      <c r="B19" s="1">
        <v>0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 s="1">
        <v>1</v>
      </c>
      <c r="K19" s="1">
        <v>1</v>
      </c>
      <c r="L19" s="1">
        <v>1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T19" s="1">
        <v>1</v>
      </c>
      <c r="U19" s="1">
        <v>3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2</v>
      </c>
      <c r="AC19" s="1">
        <v>3</v>
      </c>
      <c r="AD19" s="1">
        <v>1</v>
      </c>
      <c r="AE19" s="1">
        <v>0</v>
      </c>
      <c r="AF19" s="1">
        <v>1</v>
      </c>
      <c r="AG19" s="1">
        <v>2</v>
      </c>
      <c r="AH19" s="1">
        <v>0</v>
      </c>
      <c r="AI19" s="1">
        <v>1</v>
      </c>
      <c r="AJ19" s="1">
        <v>1</v>
      </c>
      <c r="AK19" s="1">
        <v>1</v>
      </c>
      <c r="AL19" s="1">
        <v>0</v>
      </c>
      <c r="AM19" s="1">
        <v>0</v>
      </c>
      <c r="AN19" s="1">
        <v>1</v>
      </c>
      <c r="AO19" s="1">
        <v>0</v>
      </c>
      <c r="AP19" s="1">
        <v>2</v>
      </c>
      <c r="AQ19" s="1">
        <v>1</v>
      </c>
      <c r="AR19" s="1">
        <v>1</v>
      </c>
      <c r="AS19" s="1">
        <v>0</v>
      </c>
      <c r="AT19" s="1">
        <v>0</v>
      </c>
      <c r="AU19" s="1">
        <v>1</v>
      </c>
      <c r="AV19" s="1">
        <v>0</v>
      </c>
      <c r="AW19" s="1">
        <v>2</v>
      </c>
      <c r="AX19" s="1">
        <v>0</v>
      </c>
      <c r="AY19" s="1">
        <v>0</v>
      </c>
      <c r="AZ19" s="1">
        <v>0</v>
      </c>
      <c r="BA19" s="1">
        <v>1</v>
      </c>
      <c r="BB19" s="1">
        <v>1</v>
      </c>
      <c r="BC19" s="1">
        <v>0</v>
      </c>
      <c r="BD19" s="1">
        <v>2</v>
      </c>
      <c r="BE19" s="1">
        <v>0</v>
      </c>
      <c r="BF19" s="1">
        <f>SUM(B19:BE19)</f>
        <v>37</v>
      </c>
      <c r="BG19" s="5">
        <f t="shared" si="0"/>
        <v>0.78551133742581325</v>
      </c>
      <c r="BH19" s="4">
        <v>2</v>
      </c>
      <c r="BI19" s="4">
        <v>4</v>
      </c>
      <c r="BJ19" s="4">
        <v>2</v>
      </c>
      <c r="BK19" s="4">
        <v>5</v>
      </c>
      <c r="BL19" s="4">
        <v>6</v>
      </c>
      <c r="BM19" s="4">
        <v>6</v>
      </c>
      <c r="BN19" s="4">
        <v>4</v>
      </c>
      <c r="BO19" s="4">
        <v>1</v>
      </c>
      <c r="BP19" s="4">
        <v>3</v>
      </c>
      <c r="BQ19" s="4">
        <v>1</v>
      </c>
      <c r="BR19" s="4">
        <v>3</v>
      </c>
    </row>
    <row r="20" spans="1:70" ht="51" x14ac:dyDescent="0.2">
      <c r="A20" s="2" t="s">
        <v>86</v>
      </c>
      <c r="B20" s="1">
        <v>1</v>
      </c>
      <c r="C20" s="1">
        <v>2</v>
      </c>
      <c r="D20" s="1">
        <v>1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1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1</v>
      </c>
      <c r="AB20" s="1">
        <v>0</v>
      </c>
      <c r="AC20" s="1">
        <v>0</v>
      </c>
      <c r="AD20" s="1">
        <v>1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2</v>
      </c>
      <c r="AW20" s="1">
        <v>0</v>
      </c>
      <c r="AX20" s="1">
        <v>0</v>
      </c>
      <c r="AY20" s="1">
        <v>0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f>SUM(B20:BE20)</f>
        <v>16</v>
      </c>
      <c r="BG20" s="5">
        <f t="shared" si="0"/>
        <v>0.52489065916782385</v>
      </c>
      <c r="BH20" s="4">
        <v>5</v>
      </c>
      <c r="BI20" s="4">
        <v>3</v>
      </c>
      <c r="BJ20" s="4">
        <v>1</v>
      </c>
      <c r="BK20" s="4">
        <v>1</v>
      </c>
      <c r="BL20" s="4">
        <v>3</v>
      </c>
      <c r="BM20" s="4">
        <v>0</v>
      </c>
      <c r="BN20" s="4">
        <v>0</v>
      </c>
      <c r="BO20" s="4">
        <v>0</v>
      </c>
      <c r="BP20" s="4">
        <v>2</v>
      </c>
      <c r="BQ20" s="4">
        <v>1</v>
      </c>
      <c r="BR20" s="4">
        <v>0</v>
      </c>
    </row>
    <row r="21" spans="1:70" ht="51" x14ac:dyDescent="0.2">
      <c r="A21" s="2" t="s">
        <v>87</v>
      </c>
      <c r="B21" s="1">
        <v>1</v>
      </c>
      <c r="C21" s="1">
        <v>1</v>
      </c>
      <c r="D21" s="1">
        <v>2</v>
      </c>
      <c r="E21" s="1">
        <v>1</v>
      </c>
      <c r="F21" s="1">
        <v>0</v>
      </c>
      <c r="G21" s="1">
        <v>0</v>
      </c>
      <c r="H21" s="1">
        <v>2</v>
      </c>
      <c r="I21" s="1">
        <v>1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0</v>
      </c>
      <c r="V21" s="1">
        <v>2</v>
      </c>
      <c r="W21" s="1">
        <v>1</v>
      </c>
      <c r="X21" s="1">
        <v>1</v>
      </c>
      <c r="Y21" s="1">
        <v>1</v>
      </c>
      <c r="Z21" s="1">
        <v>0</v>
      </c>
      <c r="AA21" s="1">
        <v>1</v>
      </c>
      <c r="AB21" s="1">
        <v>4</v>
      </c>
      <c r="AC21" s="1">
        <v>0</v>
      </c>
      <c r="AD21" s="1">
        <v>1</v>
      </c>
      <c r="AE21" s="1">
        <v>0</v>
      </c>
      <c r="AF21" s="1">
        <v>3</v>
      </c>
      <c r="AG21" s="1">
        <v>0</v>
      </c>
      <c r="AH21" s="1">
        <v>0</v>
      </c>
      <c r="AI21" s="1">
        <v>1</v>
      </c>
      <c r="AJ21" s="1">
        <v>0</v>
      </c>
      <c r="AK21" s="1">
        <v>1</v>
      </c>
      <c r="AL21" s="1">
        <v>0</v>
      </c>
      <c r="AM21" s="1">
        <v>0</v>
      </c>
      <c r="AN21" s="1">
        <v>0</v>
      </c>
      <c r="AO21" s="1">
        <v>2</v>
      </c>
      <c r="AP21" s="1">
        <v>0</v>
      </c>
      <c r="AQ21" s="1">
        <v>1</v>
      </c>
      <c r="AR21" s="1">
        <v>9</v>
      </c>
      <c r="AS21" s="1">
        <v>2</v>
      </c>
      <c r="AT21" s="1">
        <v>1</v>
      </c>
      <c r="AU21" s="1">
        <v>0</v>
      </c>
      <c r="AV21" s="1">
        <v>0</v>
      </c>
      <c r="AW21" s="1">
        <v>3</v>
      </c>
      <c r="AX21" s="1">
        <v>1</v>
      </c>
      <c r="AY21" s="1">
        <v>2</v>
      </c>
      <c r="AZ21" s="1">
        <v>1</v>
      </c>
      <c r="BA21" s="1">
        <v>0</v>
      </c>
      <c r="BB21" s="1">
        <v>0</v>
      </c>
      <c r="BC21" s="1">
        <v>1</v>
      </c>
      <c r="BD21" s="1">
        <v>0</v>
      </c>
      <c r="BE21" s="1">
        <v>1</v>
      </c>
      <c r="BF21" s="1">
        <f>SUM(B21:BE21)</f>
        <v>53</v>
      </c>
      <c r="BG21" s="5">
        <f t="shared" si="0"/>
        <v>1.4068663615225412</v>
      </c>
      <c r="BH21" s="4">
        <v>5</v>
      </c>
      <c r="BI21" s="4">
        <v>4</v>
      </c>
      <c r="BJ21" s="4">
        <v>3</v>
      </c>
      <c r="BK21" s="4">
        <v>6</v>
      </c>
      <c r="BL21" s="4">
        <v>6</v>
      </c>
      <c r="BM21" s="4">
        <v>5</v>
      </c>
      <c r="BN21" s="4">
        <v>3</v>
      </c>
      <c r="BO21" s="4">
        <v>12</v>
      </c>
      <c r="BP21" s="4">
        <v>4</v>
      </c>
      <c r="BQ21" s="4">
        <v>3</v>
      </c>
      <c r="BR21" s="4">
        <v>2</v>
      </c>
    </row>
    <row r="22" spans="1:70" ht="51" x14ac:dyDescent="0.2">
      <c r="A22" s="2" t="s">
        <v>88</v>
      </c>
      <c r="B22" s="1">
        <v>1</v>
      </c>
      <c r="C22" s="1">
        <v>0</v>
      </c>
      <c r="D22" s="1">
        <v>0</v>
      </c>
      <c r="E22" s="1">
        <v>1</v>
      </c>
      <c r="F22" s="1">
        <v>1</v>
      </c>
      <c r="G22" s="1">
        <v>0</v>
      </c>
      <c r="H22" s="1">
        <v>6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2</v>
      </c>
      <c r="O22" s="1">
        <v>0</v>
      </c>
      <c r="P22" s="1">
        <v>0</v>
      </c>
      <c r="Q22" s="1">
        <v>1</v>
      </c>
      <c r="R22" s="1">
        <v>0</v>
      </c>
      <c r="S22" s="1">
        <v>2</v>
      </c>
      <c r="T22" s="1">
        <v>0</v>
      </c>
      <c r="U22" s="1">
        <v>0</v>
      </c>
      <c r="V22" s="1">
        <v>1</v>
      </c>
      <c r="W22" s="1">
        <v>1</v>
      </c>
      <c r="X22" s="1">
        <v>0</v>
      </c>
      <c r="Y22" s="1">
        <v>1</v>
      </c>
      <c r="Z22" s="1">
        <v>0</v>
      </c>
      <c r="AA22" s="1">
        <v>1</v>
      </c>
      <c r="AB22" s="1">
        <v>1</v>
      </c>
      <c r="AC22" s="1">
        <v>0</v>
      </c>
      <c r="AD22" s="1">
        <v>1</v>
      </c>
      <c r="AE22" s="1">
        <v>0</v>
      </c>
      <c r="AF22" s="1">
        <v>1</v>
      </c>
      <c r="AG22" s="1">
        <v>1</v>
      </c>
      <c r="AH22" s="1">
        <v>0</v>
      </c>
      <c r="AI22" s="1">
        <v>0</v>
      </c>
      <c r="AJ22" s="1">
        <v>0</v>
      </c>
      <c r="AK22" s="1">
        <v>1</v>
      </c>
      <c r="AL22" s="1">
        <v>0</v>
      </c>
      <c r="AM22" s="1">
        <v>1</v>
      </c>
      <c r="AN22" s="1">
        <v>0</v>
      </c>
      <c r="AO22" s="1">
        <v>0</v>
      </c>
      <c r="AP22" s="1">
        <v>1</v>
      </c>
      <c r="AQ22" s="1">
        <v>0</v>
      </c>
      <c r="AR22" s="1">
        <v>2</v>
      </c>
      <c r="AS22" s="1">
        <v>1</v>
      </c>
      <c r="AT22" s="1">
        <v>1</v>
      </c>
      <c r="AU22" s="1">
        <v>0</v>
      </c>
      <c r="AV22" s="1">
        <v>0</v>
      </c>
      <c r="AW22" s="1">
        <v>1</v>
      </c>
      <c r="AX22" s="1">
        <v>0</v>
      </c>
      <c r="AY22" s="1">
        <v>2</v>
      </c>
      <c r="AZ22" s="1">
        <v>0</v>
      </c>
      <c r="BA22" s="1">
        <v>1</v>
      </c>
      <c r="BB22" s="1">
        <v>0</v>
      </c>
      <c r="BC22" s="1">
        <v>1</v>
      </c>
      <c r="BD22" s="1">
        <v>0</v>
      </c>
      <c r="BE22" s="1">
        <v>0</v>
      </c>
      <c r="BF22" s="1">
        <f>SUM(B22:BE22)</f>
        <v>35</v>
      </c>
      <c r="BG22" s="5">
        <f t="shared" si="0"/>
        <v>0.95548230154798186</v>
      </c>
      <c r="BH22" s="4">
        <v>3</v>
      </c>
      <c r="BI22" s="4">
        <v>7</v>
      </c>
      <c r="BJ22" s="4">
        <v>5</v>
      </c>
      <c r="BK22" s="4">
        <v>3</v>
      </c>
      <c r="BL22" s="4">
        <v>3</v>
      </c>
      <c r="BM22" s="4">
        <v>3</v>
      </c>
      <c r="BN22" s="4">
        <v>2</v>
      </c>
      <c r="BO22" s="4">
        <v>4</v>
      </c>
      <c r="BP22" s="4">
        <v>1</v>
      </c>
      <c r="BQ22" s="4">
        <v>3</v>
      </c>
      <c r="BR22" s="4">
        <v>1</v>
      </c>
    </row>
    <row r="23" spans="1:70" ht="51" x14ac:dyDescent="0.2">
      <c r="A23" s="2" t="s">
        <v>89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2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2</v>
      </c>
      <c r="AD23" s="1">
        <v>1</v>
      </c>
      <c r="AE23" s="1">
        <v>0</v>
      </c>
      <c r="AF23" s="1">
        <v>1</v>
      </c>
      <c r="AG23" s="1">
        <v>3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</v>
      </c>
      <c r="BD23" s="1">
        <v>2</v>
      </c>
      <c r="BE23" s="1">
        <v>0</v>
      </c>
      <c r="BF23" s="1">
        <f>SUM(B23:BE23)</f>
        <v>17</v>
      </c>
      <c r="BG23" s="5">
        <f t="shared" si="0"/>
        <v>0.65245806808732543</v>
      </c>
      <c r="BH23" s="4">
        <v>1</v>
      </c>
      <c r="BI23" s="4">
        <v>2</v>
      </c>
      <c r="BJ23" s="4">
        <v>0</v>
      </c>
      <c r="BK23" s="4">
        <v>2</v>
      </c>
      <c r="BL23" s="4">
        <v>4</v>
      </c>
      <c r="BM23" s="4">
        <v>4</v>
      </c>
      <c r="BN23" s="4">
        <v>0</v>
      </c>
      <c r="BO23" s="4">
        <v>0</v>
      </c>
      <c r="BP23" s="4">
        <v>1</v>
      </c>
      <c r="BQ23" s="4">
        <v>0</v>
      </c>
      <c r="BR23" s="4">
        <v>3</v>
      </c>
    </row>
    <row r="24" spans="1:70" ht="51" x14ac:dyDescent="0.2">
      <c r="A24" s="2" t="s">
        <v>90</v>
      </c>
      <c r="B24" s="1">
        <v>0</v>
      </c>
      <c r="C24" s="1">
        <v>0</v>
      </c>
      <c r="D24" s="1">
        <v>1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3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</v>
      </c>
      <c r="AM24" s="1">
        <v>1</v>
      </c>
      <c r="AN24" s="1">
        <v>1</v>
      </c>
      <c r="AO24" s="1">
        <v>0</v>
      </c>
      <c r="AP24" s="1">
        <v>0</v>
      </c>
      <c r="AQ24" s="1">
        <v>0</v>
      </c>
      <c r="AR24" s="1">
        <v>1</v>
      </c>
      <c r="AS24" s="1">
        <v>0</v>
      </c>
      <c r="AT24" s="1">
        <v>1</v>
      </c>
      <c r="AU24" s="1">
        <v>1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f>SUM(B24:BE24)</f>
        <v>15</v>
      </c>
      <c r="BG24" s="5">
        <f t="shared" si="0"/>
        <v>0.5506837123253312</v>
      </c>
      <c r="BH24" s="4">
        <v>2</v>
      </c>
      <c r="BI24" s="4">
        <v>3</v>
      </c>
      <c r="BJ24" s="4">
        <v>2</v>
      </c>
      <c r="BK24" s="4">
        <v>1</v>
      </c>
      <c r="BL24" s="4">
        <v>0</v>
      </c>
      <c r="BM24" s="4">
        <v>0</v>
      </c>
      <c r="BN24" s="4">
        <v>3</v>
      </c>
      <c r="BO24" s="4">
        <v>2</v>
      </c>
      <c r="BP24" s="4">
        <v>1</v>
      </c>
      <c r="BQ24" s="4">
        <v>0</v>
      </c>
      <c r="BR24" s="4">
        <v>1</v>
      </c>
    </row>
    <row r="25" spans="1:70" ht="51" x14ac:dyDescent="0.2">
      <c r="A25" s="2" t="s">
        <v>91</v>
      </c>
      <c r="B25" s="1">
        <v>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3</v>
      </c>
      <c r="I25" s="1">
        <v>1</v>
      </c>
      <c r="J25" s="1">
        <v>1</v>
      </c>
      <c r="K25" s="1">
        <v>0</v>
      </c>
      <c r="L25" s="1">
        <v>0</v>
      </c>
      <c r="M25" s="1">
        <v>1</v>
      </c>
      <c r="N25" s="1">
        <v>1</v>
      </c>
      <c r="O25" s="1">
        <v>1</v>
      </c>
      <c r="P25" s="1">
        <v>0</v>
      </c>
      <c r="Q25" s="1">
        <v>2</v>
      </c>
      <c r="R25" s="1">
        <v>0</v>
      </c>
      <c r="S25" s="1">
        <v>2</v>
      </c>
      <c r="T25" s="1">
        <v>0</v>
      </c>
      <c r="U25" s="1">
        <v>0</v>
      </c>
      <c r="V25" s="1">
        <v>1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>
        <v>2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1</v>
      </c>
      <c r="AL25" s="1">
        <v>0</v>
      </c>
      <c r="AM25" s="1">
        <v>1</v>
      </c>
      <c r="AN25" s="1">
        <v>0</v>
      </c>
      <c r="AO25" s="1">
        <v>0</v>
      </c>
      <c r="AP25" s="1">
        <v>1</v>
      </c>
      <c r="AQ25" s="1">
        <v>0</v>
      </c>
      <c r="AR25" s="1">
        <v>2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0</v>
      </c>
      <c r="AY25" s="1">
        <v>2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f>SUM(B25:BE25)</f>
        <v>33</v>
      </c>
      <c r="BG25" s="5">
        <f t="shared" si="0"/>
        <v>0.75063748417798937</v>
      </c>
      <c r="BH25" s="4">
        <v>2</v>
      </c>
      <c r="BI25" s="4">
        <v>6</v>
      </c>
      <c r="BJ25" s="4">
        <v>6</v>
      </c>
      <c r="BK25" s="4">
        <v>2</v>
      </c>
      <c r="BL25" s="4">
        <v>3</v>
      </c>
      <c r="BM25" s="4">
        <v>2</v>
      </c>
      <c r="BN25" s="4">
        <v>2</v>
      </c>
      <c r="BO25" s="4">
        <v>4</v>
      </c>
      <c r="BP25" s="4">
        <v>3</v>
      </c>
      <c r="BQ25" s="4">
        <v>3</v>
      </c>
      <c r="BR25" s="4">
        <v>0</v>
      </c>
    </row>
    <row r="26" spans="1:70" ht="51" x14ac:dyDescent="0.2">
      <c r="A26" s="2" t="s">
        <v>92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1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2</v>
      </c>
      <c r="BB26" s="1">
        <v>0</v>
      </c>
      <c r="BC26" s="1">
        <v>0</v>
      </c>
      <c r="BD26" s="1">
        <v>0</v>
      </c>
      <c r="BE26" s="1">
        <v>0</v>
      </c>
      <c r="BF26" s="1">
        <f>SUM(B26:BE26)</f>
        <v>11</v>
      </c>
      <c r="BG26" s="5">
        <f t="shared" si="0"/>
        <v>0.43995303552696141</v>
      </c>
      <c r="BH26" s="4">
        <v>1</v>
      </c>
      <c r="BI26" s="4">
        <v>1</v>
      </c>
      <c r="BJ26" s="4">
        <v>2</v>
      </c>
      <c r="BK26" s="4">
        <v>2</v>
      </c>
      <c r="BL26" s="4">
        <v>1</v>
      </c>
      <c r="BM26" s="4">
        <v>1</v>
      </c>
      <c r="BN26" s="4">
        <v>1</v>
      </c>
      <c r="BO26" s="4">
        <v>0</v>
      </c>
      <c r="BP26" s="4">
        <v>0</v>
      </c>
      <c r="BQ26" s="4">
        <v>2</v>
      </c>
      <c r="BR26" s="4">
        <v>0</v>
      </c>
    </row>
    <row r="27" spans="1:70" ht="34" x14ac:dyDescent="0.2">
      <c r="A27" s="3" t="s">
        <v>93</v>
      </c>
      <c r="B27" s="4">
        <v>9</v>
      </c>
      <c r="C27" s="4">
        <v>8</v>
      </c>
      <c r="D27" s="4">
        <v>7</v>
      </c>
      <c r="E27" s="4">
        <v>4</v>
      </c>
      <c r="F27" s="4">
        <v>1</v>
      </c>
      <c r="G27" s="4">
        <v>2</v>
      </c>
      <c r="H27" s="4">
        <v>12</v>
      </c>
      <c r="I27" s="4">
        <v>8</v>
      </c>
      <c r="J27" s="4">
        <v>8</v>
      </c>
      <c r="K27" s="4">
        <v>3</v>
      </c>
      <c r="L27" s="4">
        <v>1</v>
      </c>
      <c r="M27" s="4">
        <v>2</v>
      </c>
      <c r="N27" s="4">
        <v>13</v>
      </c>
      <c r="O27" s="4">
        <v>5</v>
      </c>
      <c r="P27" s="4">
        <v>6</v>
      </c>
      <c r="Q27" s="4">
        <v>5</v>
      </c>
      <c r="R27" s="4">
        <v>3</v>
      </c>
      <c r="S27" s="4">
        <v>4</v>
      </c>
      <c r="T27" s="4">
        <v>11</v>
      </c>
      <c r="U27" s="4">
        <v>4</v>
      </c>
      <c r="V27" s="4">
        <v>5</v>
      </c>
      <c r="W27" s="4">
        <v>7</v>
      </c>
      <c r="X27" s="4">
        <v>1</v>
      </c>
      <c r="Y27" s="4">
        <v>4</v>
      </c>
      <c r="Z27" s="4">
        <v>1</v>
      </c>
      <c r="AA27" s="4">
        <v>3</v>
      </c>
      <c r="AB27" s="4">
        <v>5</v>
      </c>
      <c r="AC27" s="4">
        <v>2</v>
      </c>
      <c r="AD27" s="4">
        <v>5</v>
      </c>
      <c r="AE27" s="4">
        <v>1</v>
      </c>
      <c r="AF27" s="4">
        <v>8</v>
      </c>
      <c r="AG27" s="4">
        <v>3</v>
      </c>
      <c r="AH27" s="4">
        <v>2</v>
      </c>
      <c r="AI27" s="4">
        <v>4</v>
      </c>
      <c r="AJ27" s="4">
        <v>1</v>
      </c>
      <c r="AK27" s="4">
        <v>6</v>
      </c>
      <c r="AL27" s="4">
        <v>3</v>
      </c>
      <c r="AM27" s="4">
        <v>7</v>
      </c>
      <c r="AN27" s="4">
        <v>5</v>
      </c>
      <c r="AO27" s="4">
        <v>2</v>
      </c>
      <c r="AP27" s="4">
        <v>2</v>
      </c>
      <c r="AQ27" s="4">
        <v>1</v>
      </c>
      <c r="AR27" s="4">
        <v>15</v>
      </c>
      <c r="AS27" s="4">
        <v>4</v>
      </c>
      <c r="AT27" s="4">
        <v>3</v>
      </c>
      <c r="AU27" s="4">
        <v>8</v>
      </c>
      <c r="AV27" s="4">
        <v>1</v>
      </c>
      <c r="AW27" s="4">
        <v>6</v>
      </c>
      <c r="AX27" s="4">
        <v>2</v>
      </c>
      <c r="AY27" s="4">
        <v>9</v>
      </c>
      <c r="AZ27" s="4">
        <v>3</v>
      </c>
      <c r="BA27" s="4">
        <v>1</v>
      </c>
      <c r="BB27" s="4">
        <v>4</v>
      </c>
      <c r="BC27" s="4">
        <v>2</v>
      </c>
      <c r="BD27" s="4">
        <v>2</v>
      </c>
      <c r="BE27" s="4">
        <v>4</v>
      </c>
      <c r="BF27" s="4">
        <f>SUM(B27:BE27)</f>
        <v>258</v>
      </c>
      <c r="BG27" s="4"/>
      <c r="BH27" s="4">
        <v>31</v>
      </c>
      <c r="BI27" s="4">
        <v>34</v>
      </c>
      <c r="BJ27" s="4">
        <v>36</v>
      </c>
      <c r="BK27" s="4">
        <v>33</v>
      </c>
      <c r="BL27" s="4">
        <v>16</v>
      </c>
      <c r="BM27" s="4">
        <v>24</v>
      </c>
      <c r="BN27" s="4">
        <v>20</v>
      </c>
      <c r="BO27" s="4">
        <v>22</v>
      </c>
      <c r="BP27" s="4">
        <v>17</v>
      </c>
      <c r="BQ27" s="4">
        <v>13</v>
      </c>
      <c r="BR27" s="4">
        <v>12</v>
      </c>
    </row>
    <row r="28" spans="1:70" ht="34" x14ac:dyDescent="0.2">
      <c r="A28" s="3" t="s">
        <v>94</v>
      </c>
      <c r="B28" s="4">
        <v>4</v>
      </c>
      <c r="C28" s="4">
        <v>8</v>
      </c>
      <c r="D28" s="4">
        <v>4</v>
      </c>
      <c r="E28" s="4">
        <v>1</v>
      </c>
      <c r="F28" s="4">
        <v>1</v>
      </c>
      <c r="G28" s="4">
        <v>4</v>
      </c>
      <c r="H28" s="4">
        <v>1</v>
      </c>
      <c r="I28" s="4">
        <v>5</v>
      </c>
      <c r="J28" s="4">
        <v>6</v>
      </c>
      <c r="K28" s="4">
        <v>4</v>
      </c>
      <c r="L28" s="4">
        <v>2</v>
      </c>
      <c r="M28" s="4">
        <v>1</v>
      </c>
      <c r="N28" s="4">
        <v>3</v>
      </c>
      <c r="O28" s="4">
        <v>6</v>
      </c>
      <c r="P28" s="4">
        <v>3</v>
      </c>
      <c r="Q28" s="4">
        <v>1</v>
      </c>
      <c r="R28" s="4">
        <v>3</v>
      </c>
      <c r="S28" s="4">
        <v>0</v>
      </c>
      <c r="T28" s="4">
        <v>4</v>
      </c>
      <c r="U28" s="4">
        <v>4</v>
      </c>
      <c r="V28" s="4">
        <v>0</v>
      </c>
      <c r="W28" s="4">
        <v>1</v>
      </c>
      <c r="X28" s="4">
        <v>3</v>
      </c>
      <c r="Y28" s="4">
        <v>1</v>
      </c>
      <c r="Z28" s="4">
        <v>1</v>
      </c>
      <c r="AA28" s="4">
        <v>7</v>
      </c>
      <c r="AB28" s="4">
        <v>2</v>
      </c>
      <c r="AC28" s="4">
        <v>3</v>
      </c>
      <c r="AD28" s="4">
        <v>3</v>
      </c>
      <c r="AE28" s="4">
        <v>2</v>
      </c>
      <c r="AF28" s="4">
        <v>1</v>
      </c>
      <c r="AG28" s="4">
        <v>3</v>
      </c>
      <c r="AH28" s="4">
        <v>4</v>
      </c>
      <c r="AI28" s="4">
        <v>1</v>
      </c>
      <c r="AJ28" s="4">
        <v>2</v>
      </c>
      <c r="AK28" s="4">
        <v>0</v>
      </c>
      <c r="AL28" s="4">
        <v>3</v>
      </c>
      <c r="AM28" s="4">
        <v>1</v>
      </c>
      <c r="AN28" s="4">
        <v>3</v>
      </c>
      <c r="AO28" s="4">
        <v>3</v>
      </c>
      <c r="AP28" s="4">
        <v>3</v>
      </c>
      <c r="AQ28" s="4">
        <v>0</v>
      </c>
      <c r="AR28" s="4">
        <v>4</v>
      </c>
      <c r="AS28" s="4">
        <v>1</v>
      </c>
      <c r="AT28" s="4">
        <v>1</v>
      </c>
      <c r="AU28" s="4">
        <v>4</v>
      </c>
      <c r="AV28" s="4">
        <v>1</v>
      </c>
      <c r="AW28" s="4">
        <v>0</v>
      </c>
      <c r="AX28" s="4">
        <v>0</v>
      </c>
      <c r="AY28" s="4">
        <v>3</v>
      </c>
      <c r="AZ28" s="4">
        <v>1</v>
      </c>
      <c r="BA28" s="4">
        <v>1</v>
      </c>
      <c r="BB28" s="4">
        <v>2</v>
      </c>
      <c r="BC28" s="4">
        <v>1</v>
      </c>
      <c r="BD28" s="4">
        <v>2</v>
      </c>
      <c r="BE28" s="4">
        <v>2</v>
      </c>
      <c r="BF28" s="4">
        <f t="shared" ref="BF28:BF31" si="1">SUM(B28:BE28)</f>
        <v>135</v>
      </c>
      <c r="BG28" s="4"/>
      <c r="BH28" s="4">
        <v>22</v>
      </c>
      <c r="BI28" s="4">
        <v>19</v>
      </c>
      <c r="BJ28" s="4">
        <v>16</v>
      </c>
      <c r="BK28" s="4">
        <v>14</v>
      </c>
      <c r="BL28" s="4">
        <v>17</v>
      </c>
      <c r="BM28" s="4">
        <v>11</v>
      </c>
      <c r="BN28" s="4">
        <v>13</v>
      </c>
      <c r="BO28" s="4">
        <v>6</v>
      </c>
      <c r="BP28" s="4">
        <v>5</v>
      </c>
      <c r="BQ28" s="4">
        <v>5</v>
      </c>
      <c r="BR28" s="4">
        <v>7</v>
      </c>
    </row>
    <row r="29" spans="1:70" ht="34" x14ac:dyDescent="0.2">
      <c r="A29" s="3" t="s">
        <v>95</v>
      </c>
      <c r="B29" s="4">
        <v>4</v>
      </c>
      <c r="C29" s="4">
        <v>5</v>
      </c>
      <c r="D29" s="4">
        <v>9</v>
      </c>
      <c r="E29" s="4">
        <v>0</v>
      </c>
      <c r="F29" s="4">
        <v>1</v>
      </c>
      <c r="G29" s="4">
        <v>3</v>
      </c>
      <c r="H29" s="4">
        <v>3</v>
      </c>
      <c r="I29" s="4">
        <v>1</v>
      </c>
      <c r="J29" s="4">
        <v>2</v>
      </c>
      <c r="K29" s="4">
        <v>3</v>
      </c>
      <c r="L29" s="4">
        <v>3</v>
      </c>
      <c r="M29" s="4">
        <v>3</v>
      </c>
      <c r="N29" s="4">
        <v>2</v>
      </c>
      <c r="O29" s="4">
        <v>1</v>
      </c>
      <c r="P29" s="4">
        <v>3</v>
      </c>
      <c r="Q29" s="4">
        <v>0</v>
      </c>
      <c r="R29" s="4">
        <v>1</v>
      </c>
      <c r="S29" s="4">
        <v>2</v>
      </c>
      <c r="T29" s="4">
        <v>3</v>
      </c>
      <c r="U29" s="4">
        <v>4</v>
      </c>
      <c r="V29" s="4">
        <v>1</v>
      </c>
      <c r="W29" s="4">
        <v>3</v>
      </c>
      <c r="X29" s="4">
        <v>3</v>
      </c>
      <c r="Y29" s="4">
        <v>0</v>
      </c>
      <c r="Z29" s="4">
        <v>1</v>
      </c>
      <c r="AA29" s="4">
        <v>8</v>
      </c>
      <c r="AB29" s="4">
        <v>10</v>
      </c>
      <c r="AC29" s="4">
        <v>3</v>
      </c>
      <c r="AD29" s="4">
        <v>4</v>
      </c>
      <c r="AE29" s="4">
        <v>1</v>
      </c>
      <c r="AF29" s="4">
        <v>3</v>
      </c>
      <c r="AG29" s="4">
        <v>3</v>
      </c>
      <c r="AH29" s="4">
        <v>0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2</v>
      </c>
      <c r="AO29" s="4">
        <v>3</v>
      </c>
      <c r="AP29" s="4">
        <v>4</v>
      </c>
      <c r="AQ29" s="4">
        <v>3</v>
      </c>
      <c r="AR29" s="4">
        <v>8</v>
      </c>
      <c r="AS29" s="4">
        <v>0</v>
      </c>
      <c r="AT29" s="4">
        <v>0</v>
      </c>
      <c r="AU29" s="4">
        <v>2</v>
      </c>
      <c r="AV29" s="4">
        <v>4</v>
      </c>
      <c r="AW29" s="4">
        <v>4</v>
      </c>
      <c r="AX29" s="4">
        <v>2</v>
      </c>
      <c r="AY29" s="4">
        <v>1</v>
      </c>
      <c r="AZ29" s="4">
        <v>2</v>
      </c>
      <c r="BA29" s="4">
        <v>3</v>
      </c>
      <c r="BB29" s="4">
        <v>2</v>
      </c>
      <c r="BC29" s="4">
        <v>2</v>
      </c>
      <c r="BD29" s="4">
        <v>2</v>
      </c>
      <c r="BE29" s="4">
        <v>1</v>
      </c>
      <c r="BF29" s="4">
        <f t="shared" si="1"/>
        <v>143</v>
      </c>
      <c r="BG29" s="4"/>
      <c r="BH29" s="4">
        <v>22</v>
      </c>
      <c r="BI29" s="4">
        <v>15</v>
      </c>
      <c r="BJ29" s="4">
        <v>9</v>
      </c>
      <c r="BK29" s="4">
        <v>15</v>
      </c>
      <c r="BL29" s="4">
        <v>26</v>
      </c>
      <c r="BM29" s="4">
        <v>9</v>
      </c>
      <c r="BN29" s="4">
        <v>14</v>
      </c>
      <c r="BO29" s="4">
        <v>8</v>
      </c>
      <c r="BP29" s="4">
        <v>12</v>
      </c>
      <c r="BQ29" s="4">
        <v>6</v>
      </c>
      <c r="BR29" s="4">
        <v>7</v>
      </c>
    </row>
    <row r="30" spans="1:70" ht="34" x14ac:dyDescent="0.2">
      <c r="A30" s="3" t="s">
        <v>96</v>
      </c>
      <c r="B30" s="4">
        <v>4</v>
      </c>
      <c r="C30" s="4">
        <v>1</v>
      </c>
      <c r="D30" s="4">
        <v>4</v>
      </c>
      <c r="E30" s="4">
        <v>3</v>
      </c>
      <c r="F30" s="4">
        <v>2</v>
      </c>
      <c r="G30" s="4">
        <v>0</v>
      </c>
      <c r="H30" s="4">
        <v>13</v>
      </c>
      <c r="I30" s="4">
        <v>2</v>
      </c>
      <c r="J30" s="4">
        <v>5</v>
      </c>
      <c r="K30" s="4">
        <v>0</v>
      </c>
      <c r="L30" s="4">
        <v>0</v>
      </c>
      <c r="M30" s="4">
        <v>3</v>
      </c>
      <c r="N30" s="4">
        <v>3</v>
      </c>
      <c r="O30" s="4">
        <v>4</v>
      </c>
      <c r="P30" s="4">
        <v>2</v>
      </c>
      <c r="Q30" s="4">
        <v>4</v>
      </c>
      <c r="R30" s="4">
        <v>0</v>
      </c>
      <c r="S30" s="4">
        <v>5</v>
      </c>
      <c r="T30" s="4">
        <v>3</v>
      </c>
      <c r="U30" s="4">
        <v>2</v>
      </c>
      <c r="V30" s="4">
        <v>4</v>
      </c>
      <c r="W30" s="4">
        <v>3</v>
      </c>
      <c r="X30" s="4">
        <v>1</v>
      </c>
      <c r="Y30" s="4">
        <v>2</v>
      </c>
      <c r="Z30" s="4">
        <v>1</v>
      </c>
      <c r="AA30" s="4">
        <v>3</v>
      </c>
      <c r="AB30" s="4">
        <v>7</v>
      </c>
      <c r="AC30" s="4">
        <v>2</v>
      </c>
      <c r="AD30" s="4">
        <v>5</v>
      </c>
      <c r="AE30" s="4">
        <v>0</v>
      </c>
      <c r="AF30" s="4">
        <v>6</v>
      </c>
      <c r="AG30" s="4">
        <v>4</v>
      </c>
      <c r="AH30" s="4">
        <v>0</v>
      </c>
      <c r="AI30" s="4">
        <v>1</v>
      </c>
      <c r="AJ30" s="4">
        <v>1</v>
      </c>
      <c r="AK30" s="4">
        <v>3</v>
      </c>
      <c r="AL30" s="4">
        <v>1</v>
      </c>
      <c r="AM30" s="4">
        <v>3</v>
      </c>
      <c r="AN30" s="4">
        <v>1</v>
      </c>
      <c r="AO30" s="4">
        <v>2</v>
      </c>
      <c r="AP30" s="4">
        <v>3</v>
      </c>
      <c r="AQ30" s="4">
        <v>1</v>
      </c>
      <c r="AR30" s="4">
        <v>14</v>
      </c>
      <c r="AS30" s="4">
        <v>4</v>
      </c>
      <c r="AT30" s="4">
        <v>4</v>
      </c>
      <c r="AU30" s="4">
        <v>3</v>
      </c>
      <c r="AV30" s="4">
        <v>1</v>
      </c>
      <c r="AW30" s="4">
        <v>5</v>
      </c>
      <c r="AX30" s="4">
        <v>1</v>
      </c>
      <c r="AY30" s="4">
        <v>6</v>
      </c>
      <c r="AZ30" s="4">
        <v>1</v>
      </c>
      <c r="BA30" s="4">
        <v>4</v>
      </c>
      <c r="BB30" s="4">
        <v>1</v>
      </c>
      <c r="BC30" s="4">
        <v>3</v>
      </c>
      <c r="BD30" s="4">
        <v>2</v>
      </c>
      <c r="BE30" s="4">
        <v>1</v>
      </c>
      <c r="BF30" s="4">
        <f t="shared" si="1"/>
        <v>164</v>
      </c>
      <c r="BG30" s="4"/>
      <c r="BH30" s="4">
        <v>14</v>
      </c>
      <c r="BI30" s="4">
        <v>23</v>
      </c>
      <c r="BJ30" s="4">
        <v>18</v>
      </c>
      <c r="BK30" s="4">
        <v>16</v>
      </c>
      <c r="BL30" s="4">
        <v>17</v>
      </c>
      <c r="BM30" s="4">
        <v>15</v>
      </c>
      <c r="BN30" s="4">
        <v>11</v>
      </c>
      <c r="BO30" s="4">
        <v>22</v>
      </c>
      <c r="BP30" s="4">
        <v>10</v>
      </c>
      <c r="BQ30" s="4">
        <v>11</v>
      </c>
      <c r="BR30" s="4">
        <v>7</v>
      </c>
    </row>
    <row r="31" spans="1:70" ht="17" x14ac:dyDescent="0.2">
      <c r="A31" s="3" t="s">
        <v>97</v>
      </c>
      <c r="B31" s="4">
        <f>SUM(B2:B26)</f>
        <v>21</v>
      </c>
      <c r="C31" s="4">
        <f>SUM(C2:C26)</f>
        <v>22</v>
      </c>
      <c r="D31" s="4">
        <f>SUM(D2:D26)</f>
        <v>24</v>
      </c>
      <c r="E31" s="4">
        <f>SUM(E2:E26)</f>
        <v>8</v>
      </c>
      <c r="F31" s="4">
        <f>SUM(F2:F26)</f>
        <v>5</v>
      </c>
      <c r="G31" s="4">
        <f>SUM(G2:G26)</f>
        <v>9</v>
      </c>
      <c r="H31" s="4">
        <f>SUM(H2:H26)</f>
        <v>29</v>
      </c>
      <c r="I31" s="4">
        <f>SUM(I2:I26)</f>
        <v>16</v>
      </c>
      <c r="J31" s="4">
        <f>SUM(J2:J26)</f>
        <v>21</v>
      </c>
      <c r="K31" s="4">
        <f>SUM(K2:K26)</f>
        <v>10</v>
      </c>
      <c r="L31" s="4">
        <f>SUM(L2:L26)</f>
        <v>6</v>
      </c>
      <c r="M31" s="4">
        <f>SUM(M2:M26)</f>
        <v>9</v>
      </c>
      <c r="N31" s="4">
        <f>SUM(N2:N26)</f>
        <v>21</v>
      </c>
      <c r="O31" s="4">
        <f>SUM(O2:O26)</f>
        <v>16</v>
      </c>
      <c r="P31" s="4">
        <f>SUM(P2:P26)</f>
        <v>14</v>
      </c>
      <c r="Q31" s="4">
        <f>SUM(Q2:Q26)</f>
        <v>10</v>
      </c>
      <c r="R31" s="4">
        <f>SUM(R2:R26)</f>
        <v>7</v>
      </c>
      <c r="S31" s="4">
        <f>SUM(S2:S26)</f>
        <v>11</v>
      </c>
      <c r="T31" s="4">
        <f>SUM(T2:T26)</f>
        <v>21</v>
      </c>
      <c r="U31" s="4">
        <f>SUM(U2:U26)</f>
        <v>14</v>
      </c>
      <c r="V31" s="4">
        <f>SUM(V2:V26)</f>
        <v>10</v>
      </c>
      <c r="W31" s="4">
        <f>SUM(W2:W26)</f>
        <v>14</v>
      </c>
      <c r="X31" s="4">
        <f>SUM(X2:X26)</f>
        <v>8</v>
      </c>
      <c r="Y31" s="4">
        <f>SUM(Y2:Y26)</f>
        <v>7</v>
      </c>
      <c r="Z31" s="4">
        <f>SUM(Z2:Z26)</f>
        <v>4</v>
      </c>
      <c r="AA31" s="4">
        <f>SUM(AA2:AA26)</f>
        <v>21</v>
      </c>
      <c r="AB31" s="4">
        <f>SUM(AB2:AB26)</f>
        <v>24</v>
      </c>
      <c r="AC31" s="4">
        <f>SUM(AC2:AC26)</f>
        <v>10</v>
      </c>
      <c r="AD31" s="4">
        <f>SUM(AD2:AD26)</f>
        <v>17</v>
      </c>
      <c r="AE31" s="4">
        <f>SUM(AE2:AE26)</f>
        <v>4</v>
      </c>
      <c r="AF31" s="4">
        <f>SUM(AF2:AF26)</f>
        <v>18</v>
      </c>
      <c r="AG31" s="4">
        <f>SUM(AG2:AG26)</f>
        <v>13</v>
      </c>
      <c r="AH31" s="4">
        <f>SUM(AH2:AH26)</f>
        <v>6</v>
      </c>
      <c r="AI31" s="4">
        <f>SUM(AI2:AI26)</f>
        <v>7</v>
      </c>
      <c r="AJ31" s="4">
        <f>SUM(AJ2:AJ26)</f>
        <v>5</v>
      </c>
      <c r="AK31" s="4">
        <f>SUM(AK2:AK26)</f>
        <v>10</v>
      </c>
      <c r="AL31" s="4">
        <f>SUM(AL2:AL26)</f>
        <v>8</v>
      </c>
      <c r="AM31" s="4">
        <f>SUM(AM2:AM26)</f>
        <v>12</v>
      </c>
      <c r="AN31" s="4">
        <f>SUM(AN2:AN26)</f>
        <v>11</v>
      </c>
      <c r="AO31" s="4">
        <f>SUM(AO2:AO26)</f>
        <v>10</v>
      </c>
      <c r="AP31" s="4">
        <f>SUM(AP2:AP26)</f>
        <v>12</v>
      </c>
      <c r="AQ31" s="4">
        <f>SUM(AQ2:AQ26)</f>
        <v>5</v>
      </c>
      <c r="AR31" s="4">
        <f>SUM(AR2:AR26)</f>
        <v>41</v>
      </c>
      <c r="AS31" s="4">
        <f>SUM(AS2:AS26)</f>
        <v>9</v>
      </c>
      <c r="AT31" s="4">
        <f>SUM(AT2:AT26)</f>
        <v>8</v>
      </c>
      <c r="AU31" s="4">
        <f>SUM(AU2:AU26)</f>
        <v>17</v>
      </c>
      <c r="AV31" s="4">
        <f>SUM(AV2:AV26)</f>
        <v>7</v>
      </c>
      <c r="AW31" s="4">
        <f>SUM(AW2:AW26)</f>
        <v>15</v>
      </c>
      <c r="AX31" s="4">
        <f>SUM(AX2:AX26)</f>
        <v>5</v>
      </c>
      <c r="AY31" s="4">
        <f>SUM(AY2:AY26)</f>
        <v>19</v>
      </c>
      <c r="AZ31" s="4">
        <f>SUM(AZ2:AZ26)</f>
        <v>7</v>
      </c>
      <c r="BA31" s="4">
        <f>SUM(BA2:BA26)</f>
        <v>9</v>
      </c>
      <c r="BB31" s="4">
        <f>SUM(BB2:BB26)</f>
        <v>9</v>
      </c>
      <c r="BC31" s="4">
        <f>SUM(BC2:BC26)</f>
        <v>8</v>
      </c>
      <c r="BD31" s="4">
        <f>SUM(BD2:BD26)</f>
        <v>8</v>
      </c>
      <c r="BE31" s="4">
        <f>SUM(BE2:BE26)</f>
        <v>8</v>
      </c>
      <c r="BF31" s="4">
        <f t="shared" si="1"/>
        <v>700</v>
      </c>
      <c r="BG31" s="4"/>
      <c r="BH31" s="4">
        <v>89</v>
      </c>
      <c r="BI31" s="4">
        <v>91</v>
      </c>
      <c r="BJ31" s="4">
        <v>79</v>
      </c>
      <c r="BK31" s="4">
        <v>78</v>
      </c>
      <c r="BL31" s="4">
        <v>76</v>
      </c>
      <c r="BM31" s="4">
        <v>59</v>
      </c>
      <c r="BN31" s="4">
        <v>58</v>
      </c>
      <c r="BO31" s="4">
        <v>58</v>
      </c>
      <c r="BP31" s="4">
        <v>44</v>
      </c>
      <c r="BQ31" s="4">
        <v>35</v>
      </c>
      <c r="BR31" s="4">
        <v>33</v>
      </c>
    </row>
    <row r="32" spans="1:70" x14ac:dyDescent="0.2">
      <c r="B32" s="5">
        <f>_xlfn.STDEV.P(B2:B26)</f>
        <v>1.2224565431948899</v>
      </c>
      <c r="C32" s="5">
        <f t="shared" ref="C32:BE32" si="2">_xlfn.STDEV.P(C2:C26)</f>
        <v>1.5829087149927503</v>
      </c>
      <c r="D32" s="5">
        <f t="shared" si="2"/>
        <v>1.148216007552586</v>
      </c>
      <c r="E32" s="5">
        <f t="shared" si="2"/>
        <v>0.54552726787943417</v>
      </c>
      <c r="F32" s="5">
        <f t="shared" si="2"/>
        <v>0.4</v>
      </c>
      <c r="G32" s="5">
        <f t="shared" si="2"/>
        <v>0.62481997407253242</v>
      </c>
      <c r="H32" s="5">
        <f t="shared" si="2"/>
        <v>1.3169662106523463</v>
      </c>
      <c r="I32" s="5">
        <f t="shared" si="2"/>
        <v>0.74188947963965635</v>
      </c>
      <c r="J32" s="5">
        <f t="shared" si="2"/>
        <v>1.1892854997854805</v>
      </c>
      <c r="K32" s="5">
        <f t="shared" si="2"/>
        <v>0.63245553203367588</v>
      </c>
      <c r="L32" s="5">
        <f t="shared" si="2"/>
        <v>0.42708313008125248</v>
      </c>
      <c r="M32" s="5">
        <f t="shared" si="2"/>
        <v>0.5571355310873648</v>
      </c>
      <c r="N32" s="5">
        <f t="shared" si="2"/>
        <v>1.2547509713086498</v>
      </c>
      <c r="O32" s="5">
        <f t="shared" si="2"/>
        <v>1.0537551897855593</v>
      </c>
      <c r="P32" s="5">
        <f t="shared" si="2"/>
        <v>0.75259550888907123</v>
      </c>
      <c r="Q32" s="5">
        <f t="shared" si="2"/>
        <v>0.63245553203367588</v>
      </c>
      <c r="R32" s="5">
        <f t="shared" si="2"/>
        <v>0.53065996645686397</v>
      </c>
      <c r="S32" s="5">
        <f t="shared" si="2"/>
        <v>0.63749509802036908</v>
      </c>
      <c r="T32" s="5">
        <f t="shared" si="2"/>
        <v>1.2224565431948899</v>
      </c>
      <c r="U32" s="5">
        <f t="shared" si="2"/>
        <v>0.89799777282574589</v>
      </c>
      <c r="V32" s="5">
        <f t="shared" si="2"/>
        <v>0.69282032302755092</v>
      </c>
      <c r="W32" s="5">
        <f t="shared" si="2"/>
        <v>0.75259550888907123</v>
      </c>
      <c r="X32" s="5">
        <f t="shared" si="2"/>
        <v>0.67646138101151054</v>
      </c>
      <c r="Y32" s="5">
        <f t="shared" si="2"/>
        <v>0.53065996645686397</v>
      </c>
      <c r="Z32" s="5">
        <f t="shared" si="2"/>
        <v>0.3666060555964672</v>
      </c>
      <c r="AA32" s="5">
        <f t="shared" si="2"/>
        <v>1.3469966592386189</v>
      </c>
      <c r="AB32" s="5">
        <f t="shared" si="2"/>
        <v>1.3705473359209452</v>
      </c>
      <c r="AC32" s="5">
        <f t="shared" si="2"/>
        <v>0.8</v>
      </c>
      <c r="AD32" s="5">
        <f t="shared" si="2"/>
        <v>0.67646138101151054</v>
      </c>
      <c r="AE32" s="5">
        <f t="shared" si="2"/>
        <v>0.3666060555964672</v>
      </c>
      <c r="AF32" s="5">
        <f t="shared" si="2"/>
        <v>1.0777754868245983</v>
      </c>
      <c r="AG32" s="5">
        <f t="shared" si="2"/>
        <v>0.89977775033615937</v>
      </c>
      <c r="AH32" s="5">
        <f t="shared" si="2"/>
        <v>0.5122499389946279</v>
      </c>
      <c r="AI32" s="5">
        <f t="shared" si="2"/>
        <v>0.44899888641287294</v>
      </c>
      <c r="AJ32" s="5">
        <f t="shared" si="2"/>
        <v>0.4898979485566356</v>
      </c>
      <c r="AK32" s="5">
        <f t="shared" si="2"/>
        <v>0.4898979485566356</v>
      </c>
      <c r="AL32" s="5">
        <f t="shared" si="2"/>
        <v>0.54552726787943417</v>
      </c>
      <c r="AM32" s="5">
        <f t="shared" si="2"/>
        <v>0.57410800377629301</v>
      </c>
      <c r="AN32" s="5">
        <f t="shared" si="2"/>
        <v>0.63749509802036908</v>
      </c>
      <c r="AO32" s="5">
        <f t="shared" si="2"/>
        <v>0.74833147735478833</v>
      </c>
      <c r="AP32" s="5">
        <f t="shared" si="2"/>
        <v>0.64</v>
      </c>
      <c r="AQ32" s="5">
        <f t="shared" si="2"/>
        <v>0.4</v>
      </c>
      <c r="AR32" s="5">
        <f t="shared" si="2"/>
        <v>1.8736061485808591</v>
      </c>
      <c r="AS32" s="5">
        <f t="shared" si="2"/>
        <v>0.68585712797928988</v>
      </c>
      <c r="AT32" s="5">
        <f t="shared" si="2"/>
        <v>0.46647615158762401</v>
      </c>
      <c r="AU32" s="5">
        <f t="shared" si="2"/>
        <v>0.926066952223218</v>
      </c>
      <c r="AV32" s="5">
        <f t="shared" si="2"/>
        <v>0.60133185513491627</v>
      </c>
      <c r="AW32" s="5">
        <f t="shared" si="2"/>
        <v>0.8</v>
      </c>
      <c r="AX32" s="5">
        <f t="shared" si="2"/>
        <v>0.4</v>
      </c>
      <c r="AY32" s="5">
        <f t="shared" si="2"/>
        <v>0.99116093546910944</v>
      </c>
      <c r="AZ32" s="5">
        <f t="shared" si="2"/>
        <v>0.44899888641287294</v>
      </c>
      <c r="BA32" s="5">
        <f t="shared" si="2"/>
        <v>0.5571355310873648</v>
      </c>
      <c r="BB32" s="5">
        <f t="shared" si="2"/>
        <v>0.48</v>
      </c>
      <c r="BC32" s="5">
        <f t="shared" si="2"/>
        <v>0.46647615158762401</v>
      </c>
      <c r="BD32" s="5">
        <f t="shared" si="2"/>
        <v>0.67646138101151054</v>
      </c>
      <c r="BE32" s="5">
        <f t="shared" si="2"/>
        <v>0.54552726787943417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Dhruv Deepak</cp:lastModifiedBy>
  <dcterms:created xsi:type="dcterms:W3CDTF">2026-01-11T16:40:02Z</dcterms:created>
  <dcterms:modified xsi:type="dcterms:W3CDTF">2026-01-11T18:38:28Z</dcterms:modified>
</cp:coreProperties>
</file>